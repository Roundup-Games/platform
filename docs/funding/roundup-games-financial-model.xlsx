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Headcount" sheetId="2" state="visible" r:id="rId2"/>
    <sheet name="Assumptions" sheetId="3" state="visible" r:id="rId3"/>
    <sheet name="Model - Conservative" sheetId="4" state="visible" r:id="rId4"/>
    <sheet name="Model - Base" sheetId="5" state="visible" r:id="rId5"/>
    <sheet name="Model - Ambitious" sheetId="6" state="visible" r:id="rId6"/>
    <sheet name="Summary" sheetId="7" state="visible" r:id="rId7"/>
    <sheet name="Research &amp; Benchmarks" sheetId="8" state="visible" r:id="rId8"/>
  </sheets>
  <definedNames/>
  <calcPr calcId="124519" fullCalcOnLoad="1"/>
</workbook>
</file>

<file path=xl/styles.xml><?xml version="1.0" encoding="utf-8"?>
<styleSheet xmlns="http://schemas.openxmlformats.org/spreadsheetml/2006/main">
  <numFmts count="3">
    <numFmt numFmtId="164" formatCode="#,##0 &quot;EUR&quot;"/>
    <numFmt numFmtId="165" formatCode="0.00 &quot;EUR&quot;"/>
    <numFmt numFmtId="166" formatCode="0.0%"/>
  </numFmts>
  <fonts count="8">
    <font>
      <name val="Calibri"/>
      <family val="2"/>
      <color theme="1"/>
      <sz val="11"/>
      <scheme val="minor"/>
    </font>
    <font>
      <name val="Inter"/>
      <b val="1"/>
      <color rgb="001F2937"/>
      <sz val="16"/>
    </font>
    <font>
      <name val="Inter"/>
      <color rgb="004B5563"/>
      <sz val="10"/>
    </font>
    <font>
      <name val="Inter"/>
      <b val="1"/>
      <color rgb="00835500"/>
      <sz val="12"/>
    </font>
    <font>
      <name val="Inter"/>
      <sz val="11"/>
    </font>
    <font>
      <name val="Inter"/>
      <b val="1"/>
      <sz val="11"/>
    </font>
    <font>
      <name val="Inter"/>
      <b val="1"/>
      <color rgb="00065F46"/>
      <sz val="11"/>
    </font>
    <font>
      <name val="Inter"/>
      <color rgb="001D4ED8"/>
      <sz val="10"/>
      <u val="single"/>
    </font>
  </fonts>
  <fills count="6">
    <fill>
      <patternFill/>
    </fill>
    <fill>
      <patternFill patternType="gray125"/>
    </fill>
    <fill>
      <patternFill patternType="solid">
        <fgColor rgb="00F3E8D2"/>
      </patternFill>
    </fill>
    <fill>
      <patternFill patternType="solid">
        <fgColor rgb="00FEF3C7"/>
      </patternFill>
    </fill>
    <fill>
      <patternFill patternType="solid">
        <fgColor rgb="00EDE4D3"/>
      </patternFill>
    </fill>
    <fill>
      <patternFill patternType="solid">
        <fgColor rgb="00F1F5F9"/>
      </patternFill>
    </fill>
  </fills>
  <borders count="1">
    <border>
      <left/>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3" fillId="0" borderId="0" applyAlignment="1" pivotButton="0" quotePrefix="0" xfId="0">
      <alignment horizontal="center"/>
    </xf>
    <xf numFmtId="0" fontId="5" fillId="2" borderId="0" pivotButton="0" quotePrefix="0" xfId="0"/>
    <xf numFmtId="0" fontId="5" fillId="2" borderId="0" applyAlignment="1" pivotButton="0" quotePrefix="0" xfId="0">
      <alignment horizontal="center"/>
    </xf>
    <xf numFmtId="0" fontId="4" fillId="0" borderId="0" pivotButton="0" quotePrefix="0" xfId="0"/>
    <xf numFmtId="164" fontId="4" fillId="0" borderId="0" applyAlignment="1" pivotButton="0" quotePrefix="0" xfId="0">
      <alignment horizontal="right"/>
    </xf>
    <xf numFmtId="2" fontId="4" fillId="3" borderId="0" applyAlignment="1" pivotButton="0" quotePrefix="0" xfId="0">
      <alignment horizontal="right"/>
    </xf>
    <xf numFmtId="0" fontId="5" fillId="0" borderId="0" pivotButton="0" quotePrefix="0" xfId="0"/>
    <xf numFmtId="164" fontId="5" fillId="4" borderId="0" applyAlignment="1" pivotButton="0" quotePrefix="0" xfId="0">
      <alignment horizontal="right"/>
    </xf>
    <xf numFmtId="2" fontId="5" fillId="4" borderId="0" applyAlignment="1" pivotButton="0" quotePrefix="0" xfId="0">
      <alignment horizontal="right"/>
    </xf>
    <xf numFmtId="0" fontId="0" fillId="2" borderId="0" pivotButton="0" quotePrefix="0" xfId="0"/>
    <xf numFmtId="3" fontId="4" fillId="3" borderId="0" applyAlignment="1" pivotButton="0" quotePrefix="0" xfId="0">
      <alignment horizontal="right"/>
    </xf>
    <xf numFmtId="165" fontId="4" fillId="3" borderId="0" applyAlignment="1" pivotButton="0" quotePrefix="0" xfId="0">
      <alignment horizontal="right"/>
    </xf>
    <xf numFmtId="166" fontId="4" fillId="3" borderId="0" applyAlignment="1" pivotButton="0" quotePrefix="0" xfId="0">
      <alignment horizontal="right"/>
    </xf>
    <xf numFmtId="164" fontId="4" fillId="3" borderId="0" applyAlignment="1" pivotButton="0" quotePrefix="0" xfId="0">
      <alignment horizontal="right"/>
    </xf>
    <xf numFmtId="164" fontId="0" fillId="0" borderId="0" pivotButton="0" quotePrefix="0" xfId="0"/>
    <xf numFmtId="164" fontId="5" fillId="4" borderId="0" pivotButton="0" quotePrefix="0" xfId="0"/>
    <xf numFmtId="164" fontId="6" fillId="4" borderId="0" pivotButton="0" quotePrefix="0" xfId="0"/>
    <xf numFmtId="0" fontId="5" fillId="5" borderId="0" pivotButton="0" quotePrefix="0" xfId="0"/>
    <xf numFmtId="166" fontId="2" fillId="0" borderId="0" pivotButton="0" quotePrefix="0" xfId="0"/>
    <xf numFmtId="164" fontId="2" fillId="0" borderId="0" pivotButton="0" quotePrefix="0" xfId="0"/>
    <xf numFmtId="2" fontId="2" fillId="0" borderId="0" pivotButton="0" quotePrefix="0" xfId="0"/>
    <xf numFmtId="164" fontId="5" fillId="0" borderId="0" pivotButton="0" quotePrefix="0" xfId="0"/>
    <xf numFmtId="2" fontId="0" fillId="0" borderId="0" pivotButton="0" quotePrefix="0" xfId="0"/>
    <xf numFmtId="166" fontId="0" fillId="0" borderId="0" pivotButton="0" quotePrefix="0" xfId="0"/>
    <xf numFmtId="164" fontId="6" fillId="0" borderId="0" pivotButton="0" quotePrefix="0" xfId="0"/>
    <xf numFmtId="0" fontId="5" fillId="2" borderId="0" applyAlignment="1" pivotButton="0" quotePrefix="0" xfId="0">
      <alignment vertical="top" wrapText="1"/>
    </xf>
    <xf numFmtId="0" fontId="3" fillId="2"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hyperlink" Target="https://www.laravel-entwickler.de/en/laravel-developer-salary-a-comprehensive-guide/" TargetMode="External" Id="rId1" /><Relationship Type="http://schemas.openxmlformats.org/officeDocument/2006/relationships/hyperlink" Target="https://www.glassdoor.com/Salaries/germany-laravel-php-developer-salary-SRCH_IL.0,7_IN96_KO8,29.htm" TargetMode="External" Id="rId2" /><Relationship Type="http://schemas.openxmlformats.org/officeDocument/2006/relationships/hyperlink" Target="https://germantechjobs.de/en/salaries/Laravel/all/all" TargetMode="External" Id="rId3" /><Relationship Type="http://schemas.openxmlformats.org/officeDocument/2006/relationships/hyperlink" Target="https://www.payscale.com/research/DE/Job=Program_Manager%2C_Non-Profit_Organization/Salary" TargetMode="External" Id="rId4" /><Relationship Type="http://schemas.openxmlformats.org/officeDocument/2006/relationships/hyperlink" Target="https://www.salaryexpert.com/salary/job/non-profit-director/germany" TargetMode="External" Id="rId5" /><Relationship Type="http://schemas.openxmlformats.org/officeDocument/2006/relationships/hyperlink" Target="http://www.salaryexplorer.com/salary-survey.php?loc=81&amp;loctype=1&amp;job=5&amp;jobtype=1" TargetMode="External" Id="rId6" /><Relationship Type="http://schemas.openxmlformats.org/officeDocument/2006/relationships/hyperlink" Target="https://engageanywhere.com/blog/calculating-employee-costs-in-germany-step-by-step/" TargetMode="External" Id="rId7" /><Relationship Type="http://schemas.openxmlformats.org/officeDocument/2006/relationships/hyperlink" Target="https://fmcgroup.com/employment-cost-germany/" TargetMode="External" Id="rId8" /><Relationship Type="http://schemas.openxmlformats.org/officeDocument/2006/relationships/hyperlink" Target="https://www.iwkoeln.de/studien/dominik-h-enste-jennifer-potthoff-fast-jeder-zweite-deutsche-spendet.html" TargetMode="External" Id="rId9" /><Relationship Type="http://schemas.openxmlformats.org/officeDocument/2006/relationships/hyperlink" Target="https://www.diw.de/documents/publikationen/73/diw_01.c.738864.de/diw_sp1074.pdf" TargetMode="External" Id="rId10" /><Relationship Type="http://schemas.openxmlformats.org/officeDocument/2006/relationships/hyperlink" Target="https://www.maecenata.eu/2026/06/03/world-giving-report-2025-deutschland-spendet-weiterhin-unterdurchschnittlich" TargetMode="External" Id="rId11" /><Relationship Type="http://schemas.openxmlformats.org/officeDocument/2006/relationships/hyperlink" Target="https://www.maecenata.eu/2025/07/23/giving-in-germany-report-2025-deutschland-zaehlt-zu-den-schlusslichtern-beim-spenden-weltweit/" TargetMode="External" Id="rId12" /><Relationship Type="http://schemas.openxmlformats.org/officeDocument/2006/relationships/hyperlink" Target="https://www.dzi.de/spendenberatung/spendenauskunfte-und-information/spendenstatistik/" TargetMode="External" Id="rId13" /><Relationship Type="http://schemas.openxmlformats.org/officeDocument/2006/relationships/hyperlink" Target="https://neonone.com/resources/blog/recurring-giving-statistics/" TargetMode="External" Id="rId14" /><Relationship Type="http://schemas.openxmlformats.org/officeDocument/2006/relationships/hyperlink" Target="https://www.qgiv.com/blog/fundraising-statistics/" TargetMode="External" Id="rId15" /><Relationship Type="http://schemas.openxmlformats.org/officeDocument/2006/relationships/hyperlink" Target="https://global-disruption.com/eu-calls/cerv/index.html" TargetMode="External" Id="rId16" /><Relationship Type="http://schemas.openxmlformats.org/officeDocument/2006/relationships/hyperlink" Target="https://eufundingportal.eu/programme/cerv/" TargetMode="External" Id="rId17" /><Relationship Type="http://schemas.openxmlformats.org/officeDocument/2006/relationships/hyperlink" Target="https://eufundingportal.eu/cerv-programme/" TargetMode="External" Id="rId18" /><Relationship Type="http://schemas.openxmlformats.org/officeDocument/2006/relationships/hyperlink" Target="https://eufundingportal.eu/programme/creative-europe/" TargetMode="External" Id="rId19" /><Relationship Type="http://schemas.openxmlformats.org/officeDocument/2006/relationships/hyperlink" Target="https://cultureactioneurope.org/news/proposed-e8-6-billion-for-culture-and-democracy-in-the-next-eu-budget/" TargetMode="External" Id="rId20" /><Relationship Type="http://schemas.openxmlformats.org/officeDocument/2006/relationships/hyperlink" Target="https://cultureactioneurope.org/news/the-next-creative-europe-programme-has-been-leaked/" TargetMode="External" Id="rId21" /><Relationship Type="http://schemas.openxmlformats.org/officeDocument/2006/relationships/hyperlink" Target="https://eufundingportal.eu/erasmus-plus/" TargetMode="External" Id="rId22" /><Relationship Type="http://schemas.openxmlformats.org/officeDocument/2006/relationships/hyperlink" Target="https://www.aktion-mensch.de/foerderung" TargetMode="External" Id="rId23" /><Relationship Type="http://schemas.openxmlformats.org/officeDocument/2006/relationships/hyperlink" Target="https://foerdermittelkompass.reflecta.org/foerderungen/soziales-foerderungen-deutschland?locale=en" TargetMode="External" Id="rId24" /><Relationship Type="http://schemas.openxmlformats.org/officeDocument/2006/relationships/hyperlink" Target="https://www.foerderdatenbank.de/" TargetMode="External" Id="rId25" /><Relationship Type="http://schemas.openxmlformats.org/officeDocument/2006/relationships/hyperlink" Target="https://cof.org/content/nonprofit-law-germany" TargetMode="External" Id="rId26" /><Relationship Type="http://schemas.openxmlformats.org/officeDocument/2006/relationships/hyperlink" Target="https://germancompanyformation.com/guides/what-is-non-profit-organizations-in-germany" TargetMode="External" Id="rId27" /><Relationship Type="http://schemas.openxmlformats.org/officeDocument/2006/relationships/hyperlink" Target="https://www.liesegang-partner.com/knowhow/corporate-law/translate-to-englisch-unlocking-tax-benefits-how-non-profits-in-germany-can-achieve-tax-exempt-status" TargetMode="External" Id="rId28" /><Relationship Type="http://schemas.openxmlformats.org/officeDocument/2006/relationships/hyperlink" Target="https://www.shareshed.org.uk/wp-content/uploads/2024/12/Setting-Up-and-Sustaining-a-Library-of-Things-FINAL-2.pdf" TargetMode="External" Id="rId29" /><Relationship Type="http://schemas.openxmlformats.org/officeDocument/2006/relationships/hyperlink" Target="https://www.shareable.net/how-to/how-to-start-a-library-of-things/" TargetMode="External" Id="rId30" /><Relationship Type="http://schemas.openxmlformats.org/officeDocument/2006/relationships/hyperlink" Target="https://shareable.net/library-of-things-toolkit" TargetMode="External" Id="rId31" /><Relationship Type="http://schemas.openxmlformats.org/officeDocument/2006/relationships/hyperlink" Target="https://financialmodelexcel.com/blogs/cost-open/indie-board-game-pub" TargetMode="External" Id="rId32" /><Relationship Type="http://schemas.openxmlformats.org/officeDocument/2006/relationships/hyperlink" Target="https://startupfinancialprojection.com/blogs/capex/board-game-cafe" TargetMode="External" Id="rId33" /><Relationship Type="http://schemas.openxmlformats.org/officeDocument/2006/relationships/hyperlink" Target="https://www.teambonding.com/cost/" TargetMode="External" Id="rId34" /><Relationship Type="http://schemas.openxmlformats.org/officeDocument/2006/relationships/hyperlink" Target="https://www.leadersinstitute.com/get-a-price/" TargetMode="External" Id="rId35" /><Relationship Type="http://schemas.openxmlformats.org/officeDocument/2006/relationships/hyperlink" Target="https://www.irlgameshop.com/service/corporate-team-building-events/" TargetMode="External" Id="rId36" /><Relationship Type="http://schemas.openxmlformats.org/officeDocument/2006/relationships/hyperlink" Target="https://www.ttgda.org/scholarships" TargetMode="External" Id="rId37" /><Relationship Type="http://schemas.openxmlformats.org/officeDocument/2006/relationships/hyperlink" Target="https://www.sos.wa.gov/about-office/news/2025/libraries-washington-apply-now-tabletop-gaming-material-grants" TargetMode="External" Id="rId38" /><Relationship Type="http://schemas.openxmlformats.org/officeDocument/2006/relationships/hyperlink" Target="https://games.ala.org/game-on-grant-applications-open-for-2025/" TargetMode="External" Id="rId39" /><Relationship Type="http://schemas.openxmlformats.org/officeDocument/2006/relationships/hyperlink" Target="https://www.gencon.com/gen-con-indy/participation-grants" TargetMode="External" Id="rId40" /><Relationship Type="http://schemas.openxmlformats.org/officeDocument/2006/relationships/hyperlink" Target="https://dataintelo.com/report/fan-conventions-market" TargetMode="External" Id="rId41" /></Relationships>
</file>

<file path=xl/worksheets/sheet1.xml><?xml version="1.0" encoding="utf-8"?>
<worksheet xmlns="http://schemas.openxmlformats.org/spreadsheetml/2006/main">
  <sheetPr>
    <outlinePr summaryBelow="1" summaryRight="1"/>
    <pageSetUpPr/>
  </sheetPr>
  <dimension ref="B2:B42"/>
  <sheetViews>
    <sheetView showGridLines="0" workbookViewId="0">
      <selection activeCell="A1" sqref="A1"/>
    </sheetView>
  </sheetViews>
  <sheetFormatPr baseColWidth="8" defaultRowHeight="15"/>
  <cols>
    <col width="2" customWidth="1" min="1" max="1"/>
    <col width="110" customWidth="1" min="2" max="2"/>
  </cols>
  <sheetData>
    <row r="2">
      <c r="B2" s="1" t="inlineStr">
        <is>
          <t>Roundup Games — Non-Profit Financial Model</t>
        </is>
      </c>
    </row>
    <row r="3">
      <c r="B3" s="2" t="inlineStr">
        <is>
          <t>5-year projection · three scenarios · formula-driven · editable · headcount-driven personnel</t>
        </is>
      </c>
    </row>
    <row r="5">
      <c r="B5" s="3" t="inlineStr"/>
    </row>
    <row r="6" ht="15" customHeight="1">
      <c r="B6" s="4" t="inlineStr"/>
    </row>
    <row r="8">
      <c r="B8" s="3" t="inlineStr">
        <is>
          <t>Purpose</t>
        </is>
      </c>
    </row>
    <row r="9" ht="30" customHeight="1">
      <c r="B9" s="4" t="inlineStr">
        <is>
          <t>A discussion tool for collaborator / funder conversations about the viability of the non-profit organisation behind roundup.games.</t>
        </is>
      </c>
    </row>
    <row r="11">
      <c r="B11" s="3" t="inlineStr">
        <is>
          <t>How to use</t>
        </is>
      </c>
    </row>
    <row r="12" ht="105" customHeight="1">
      <c r="B12" s="4" t="inlineStr">
        <is>
          <t>1) 'Headcount' sheet — edit FTE per role per year (yellow). Personnel cost is derived live via SUMPRODUCT(role cost × FTE) and feeds every model.
2) 'Assumptions' sheet — all other drivers (growth, prices, grants, space).
3) 'Model - Conservative / Base / Ambitious' — full 5-year P&amp;L per scenario.
4) 'Summary' compares scenarios; 'Research &amp; Benchmarks' sources every figure.</t>
        </is>
      </c>
    </row>
    <row r="14">
      <c r="B14" s="3" t="inlineStr">
        <is>
          <t>Headcount model</t>
        </is>
      </c>
    </row>
    <row r="15" ht="60" customHeight="1">
      <c r="B15" s="4" t="inlineStr">
        <is>
          <t>Personnel cost is NOT a flat number — it is built from a role × department × FTE matrix with DACH all-in salary costs (gross × ~1.22 employer overhead). 10 roles across 5 departments. Fractional FTE = part-time. Volunteer-leveraged: paid staff cover only accountability/continuity roles; events, library counter, moderation, translation are volunteer-staffed.</t>
        </is>
      </c>
    </row>
    <row r="17">
      <c r="B17" s="3" t="inlineStr">
        <is>
          <t>Departments</t>
        </is>
      </c>
    </row>
    <row r="18" ht="45" customHeight="1">
      <c r="B18" s="4" t="inlineStr">
        <is>
          <t>Engineering · Community &amp; Operations · Partnerships &amp; Fundraising · Programs (Library + Certification) · Finance &amp; Admin. Finance/Admin stays OUTSOURCED (in the Legal line) until Base Y4 / Ambitious Y3, when an in-house hire becomes cheaper than external bookkeeping.</t>
        </is>
      </c>
    </row>
    <row r="20">
      <c r="B20" s="3" t="inlineStr">
        <is>
          <t>The revenue streams</t>
        </is>
      </c>
    </row>
    <row r="21" ht="30" customHeight="1">
      <c r="B21" s="4" t="inlineStr">
        <is>
          <t>1) Commission on paid seats · 2) GM subscriptions · 3) Branded events · 4) Library of things · 5) Certification · 6) B2B events · 7) Grants &amp; donations.</t>
        </is>
      </c>
    </row>
    <row r="23">
      <c r="B23" s="3" t="inlineStr">
        <is>
          <t>Shared space</t>
        </is>
      </c>
    </row>
    <row r="24" ht="30" customHeight="1">
      <c r="B24" s="4" t="inlineStr">
        <is>
          <t>Library + certification + events + B2B SHARE one community HQ per city. Space is modelled ONCE (rent + utilities + fit-out), not per initiative. Locations scale 0→3.</t>
        </is>
      </c>
    </row>
    <row r="26">
      <c r="B26" s="3" t="inlineStr">
        <is>
          <t>Library sourcing</t>
        </is>
      </c>
    </row>
    <row r="27" ht="30" customHeight="1">
      <c r="B27" s="4" t="inlineStr">
        <is>
          <t>Inventory via publisher/merchant/player partnerships (demo copies, discounts, donations), NOT retail. Lending platform built IN-HOUSE (dev cost in Personnel; no licence fee).</t>
        </is>
      </c>
    </row>
    <row r="29">
      <c r="B29" s="3" t="inlineStr">
        <is>
          <t>Key finding (honest)</t>
        </is>
      </c>
    </row>
    <row r="30" ht="90" customHeight="1">
      <c r="B30" s="4" t="inlineStr">
        <is>
          <t>Realistic DACH headcount runs personnel at ~50–62% of revenue in early years. Base and Ambitious therefore need a WORKING-CAPITAL BRIDGE (capacity grants + founder loan) drawn across Y1–Y4 — shown as its own revenue line on each model. The bridge is the explicit fundraising target: €170k for Base, €115k for Ambitious, €0 for Conservative. With the bridge, every year is net-positive; the underlying operating business reaches break-even at Y3 (Base) and turns genuinely surplus by Y5.</t>
        </is>
      </c>
    </row>
    <row r="32">
      <c r="B32" s="3" t="inlineStr">
        <is>
          <t>Working-capital bridge</t>
        </is>
      </c>
    </row>
    <row r="33" ht="60" customHeight="1">
      <c r="B33" s="4" t="inlineStr">
        <is>
          <t>A dedicated revenue line — distinct from operating/project grants — that covers the cumulative funding gap while commercial revenue scales. It is capacity-building grants (non-repayable) plus a founder loan (repayable from Y5+ surplus). Drawn Y1–Y4, zero by Y5 when the org is self-sustaining. Conservative needs none.</t>
        </is>
      </c>
    </row>
    <row r="35">
      <c r="B35" s="3" t="inlineStr">
        <is>
          <t>Tax note</t>
        </is>
      </c>
    </row>
    <row r="36" ht="45" customHeight="1">
      <c r="B36" s="4" t="inlineStr">
        <is>
          <t>gemeinnützige Körperschaft (e.V./gGmbH). Purpose-serving revenue tax-exempt; commercial surplus exempt to €45,000/yr then ~15% KSt (illustrative). Library + certification may qualify as Zweckbetrieb (fully exempt) — an upside not modelled. Confirm with a Steuerberater.</t>
        </is>
      </c>
    </row>
    <row r="38">
      <c r="B38" s="3" t="inlineStr">
        <is>
          <t>Currency</t>
        </is>
      </c>
    </row>
    <row r="39" ht="15" customHeight="1">
      <c r="B39" s="4" t="inlineStr">
        <is>
          <t>All figures in EUR, net of VAT (reverse-charge / small-business assumptions apply).</t>
        </is>
      </c>
    </row>
    <row r="41">
      <c r="B41" s="3" t="inlineStr">
        <is>
          <t>Disclaimer</t>
        </is>
      </c>
    </row>
    <row r="42" ht="15" customHeight="1">
      <c r="B42" s="4" t="inlineStr">
        <is>
          <t>Planning estimates for discussion only — not audited, not a funding guarantee.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
  <sheetViews>
    <sheetView showGridLines="0" workbookViewId="0">
      <selection activeCell="A1" sqref="A1"/>
    </sheetView>
  </sheetViews>
  <sheetFormatPr baseColWidth="8" defaultRowHeight="15"/>
  <cols>
    <col width="30" customWidth="1" min="1" max="1"/>
    <col width="28" customWidth="1" min="2" max="2"/>
    <col width="16" customWidth="1" min="3" max="3"/>
  </cols>
  <sheetData>
    <row r="1">
      <c r="A1" s="1" t="inlineStr">
        <is>
          <t>Headcount — role × department × FTE × all-in cost (drives Personnel)</t>
        </is>
      </c>
    </row>
    <row r="2">
      <c r="A2" s="2" t="inlineStr">
        <is>
          <t>Personnel cost = SUMPRODUCT(cost × FTE) per scenario-year. Edit yellow FTE cells. Costs are DACH all-in (gross × ~1.22 Arbeitgeberanteil).</t>
        </is>
      </c>
      <c r="D2" s="5" t="inlineStr">
        <is>
          <t>Conservative</t>
        </is>
      </c>
      <c r="J2" s="5" t="inlineStr">
        <is>
          <t>Base</t>
        </is>
      </c>
      <c r="P2" s="5" t="inlineStr">
        <is>
          <t>Ambitious</t>
        </is>
      </c>
    </row>
    <row r="3">
      <c r="A3" s="6" t="inlineStr">
        <is>
          <t>Role</t>
        </is>
      </c>
      <c r="B3" s="6" t="inlineStr">
        <is>
          <t>Department</t>
        </is>
      </c>
      <c r="C3" s="6" t="inlineStr">
        <is>
          <t>€/yr per 1.0 FTE</t>
        </is>
      </c>
      <c r="D3" s="7" t="inlineStr">
        <is>
          <t>Y1</t>
        </is>
      </c>
      <c r="E3" s="7" t="inlineStr">
        <is>
          <t>Y2</t>
        </is>
      </c>
      <c r="F3" s="7" t="inlineStr">
        <is>
          <t>Y3</t>
        </is>
      </c>
      <c r="G3" s="7" t="inlineStr">
        <is>
          <t>Y4</t>
        </is>
      </c>
      <c r="H3" s="7" t="inlineStr">
        <is>
          <t>Y5</t>
        </is>
      </c>
      <c r="J3" s="7" t="inlineStr">
        <is>
          <t>Y1</t>
        </is>
      </c>
      <c r="K3" s="7" t="inlineStr">
        <is>
          <t>Y2</t>
        </is>
      </c>
      <c r="L3" s="7" t="inlineStr">
        <is>
          <t>Y3</t>
        </is>
      </c>
      <c r="M3" s="7" t="inlineStr">
        <is>
          <t>Y4</t>
        </is>
      </c>
      <c r="N3" s="7" t="inlineStr">
        <is>
          <t>Y5</t>
        </is>
      </c>
      <c r="P3" s="7" t="inlineStr">
        <is>
          <t>Y1</t>
        </is>
      </c>
      <c r="Q3" s="7" t="inlineStr">
        <is>
          <t>Y2</t>
        </is>
      </c>
      <c r="R3" s="7" t="inlineStr">
        <is>
          <t>Y3</t>
        </is>
      </c>
      <c r="S3" s="7" t="inlineStr">
        <is>
          <t>Y4</t>
        </is>
      </c>
      <c r="T3" s="7" t="inlineStr">
        <is>
          <t>Y5</t>
        </is>
      </c>
    </row>
    <row r="5">
      <c r="A5" s="8" t="inlineStr">
        <is>
          <t>Lead / Senior Engineer</t>
        </is>
      </c>
      <c r="B5" s="2" t="inlineStr">
        <is>
          <t>Engineering</t>
        </is>
      </c>
      <c r="C5" s="9" t="n">
        <v>90000</v>
      </c>
      <c r="D5" s="10" t="n">
        <v>0</v>
      </c>
      <c r="E5" s="10" t="n">
        <v>0</v>
      </c>
      <c r="F5" s="10" t="n">
        <v>0</v>
      </c>
      <c r="G5" s="10" t="n">
        <v>0.05</v>
      </c>
      <c r="H5" s="10" t="n">
        <v>0.1</v>
      </c>
      <c r="J5" s="10" t="n">
        <v>0.5</v>
      </c>
      <c r="K5" s="10" t="n">
        <v>1</v>
      </c>
      <c r="L5" s="10" t="n">
        <v>1</v>
      </c>
      <c r="M5" s="10" t="n">
        <v>1</v>
      </c>
      <c r="N5" s="10" t="n">
        <v>1</v>
      </c>
      <c r="P5" s="10" t="n">
        <v>0.5</v>
      </c>
      <c r="Q5" s="10" t="n">
        <v>1</v>
      </c>
      <c r="R5" s="10" t="n">
        <v>1</v>
      </c>
      <c r="S5" s="10" t="n">
        <v>1.5</v>
      </c>
      <c r="T5" s="10" t="n">
        <v>2</v>
      </c>
    </row>
    <row r="6">
      <c r="A6" s="8" t="inlineStr">
        <is>
          <t>Mid Engineer</t>
        </is>
      </c>
      <c r="B6" s="2" t="inlineStr">
        <is>
          <t>Engineering</t>
        </is>
      </c>
      <c r="C6" s="9" t="n">
        <v>65000</v>
      </c>
      <c r="D6" s="10" t="n">
        <v>0</v>
      </c>
      <c r="E6" s="10" t="n">
        <v>0</v>
      </c>
      <c r="F6" s="10" t="n">
        <v>0</v>
      </c>
      <c r="G6" s="10" t="n">
        <v>0</v>
      </c>
      <c r="H6" s="10" t="n">
        <v>0</v>
      </c>
      <c r="J6" s="10" t="n">
        <v>0</v>
      </c>
      <c r="K6" s="10" t="n">
        <v>0.5</v>
      </c>
      <c r="L6" s="10" t="n">
        <v>0.5</v>
      </c>
      <c r="M6" s="10" t="n">
        <v>0.5</v>
      </c>
      <c r="N6" s="10" t="n">
        <v>0.5</v>
      </c>
      <c r="P6" s="10" t="n">
        <v>0</v>
      </c>
      <c r="Q6" s="10" t="n">
        <v>0.5</v>
      </c>
      <c r="R6" s="10" t="n">
        <v>0.5</v>
      </c>
      <c r="S6" s="10" t="n">
        <v>1</v>
      </c>
      <c r="T6" s="10" t="n">
        <v>1</v>
      </c>
    </row>
    <row r="7">
      <c r="A7" s="8" t="inlineStr">
        <is>
          <t>Community Manager</t>
        </is>
      </c>
      <c r="B7" s="2" t="inlineStr">
        <is>
          <t>Community &amp; Operations</t>
        </is>
      </c>
      <c r="C7" s="9" t="n">
        <v>50000</v>
      </c>
      <c r="D7" s="10" t="n">
        <v>0</v>
      </c>
      <c r="E7" s="10" t="n">
        <v>0</v>
      </c>
      <c r="F7" s="10" t="n">
        <v>0.05</v>
      </c>
      <c r="G7" s="10" t="n">
        <v>0.1</v>
      </c>
      <c r="H7" s="10" t="n">
        <v>0.15</v>
      </c>
      <c r="J7" s="10" t="n">
        <v>0.3</v>
      </c>
      <c r="K7" s="10" t="n">
        <v>0.4</v>
      </c>
      <c r="L7" s="10" t="n">
        <v>0.5</v>
      </c>
      <c r="M7" s="10" t="n">
        <v>0.7</v>
      </c>
      <c r="N7" s="10" t="n">
        <v>0.9</v>
      </c>
      <c r="P7" s="10" t="n">
        <v>0.5</v>
      </c>
      <c r="Q7" s="10" t="n">
        <v>0.5</v>
      </c>
      <c r="R7" s="10" t="n">
        <v>1</v>
      </c>
      <c r="S7" s="10" t="n">
        <v>1</v>
      </c>
      <c r="T7" s="10" t="n">
        <v>1</v>
      </c>
    </row>
    <row r="8">
      <c r="A8" s="8" t="inlineStr">
        <is>
          <t>HQ / Space Coordinator</t>
        </is>
      </c>
      <c r="B8" s="2" t="inlineStr">
        <is>
          <t>Community &amp; Operations</t>
        </is>
      </c>
      <c r="C8" s="9" t="n">
        <v>42000</v>
      </c>
      <c r="D8" s="10" t="n">
        <v>0</v>
      </c>
      <c r="E8" s="10" t="n">
        <v>0</v>
      </c>
      <c r="F8" s="10" t="n">
        <v>0</v>
      </c>
      <c r="G8" s="10" t="n">
        <v>0</v>
      </c>
      <c r="H8" s="10" t="n">
        <v>0.15</v>
      </c>
      <c r="J8" s="10" t="n">
        <v>0.2</v>
      </c>
      <c r="K8" s="10" t="n">
        <v>0.3</v>
      </c>
      <c r="L8" s="10" t="n">
        <v>0.4</v>
      </c>
      <c r="M8" s="10" t="n">
        <v>0.5</v>
      </c>
      <c r="N8" s="10" t="n">
        <v>0.7</v>
      </c>
      <c r="P8" s="10" t="n">
        <v>0.2</v>
      </c>
      <c r="Q8" s="10" t="n">
        <v>0.5</v>
      </c>
      <c r="R8" s="10" t="n">
        <v>0.5</v>
      </c>
      <c r="S8" s="10" t="n">
        <v>1</v>
      </c>
      <c r="T8" s="10" t="n">
        <v>1</v>
      </c>
    </row>
    <row r="9">
      <c r="A9" s="8" t="inlineStr">
        <is>
          <t>Event Coordinator</t>
        </is>
      </c>
      <c r="B9" s="2" t="inlineStr">
        <is>
          <t>Community &amp; Operations</t>
        </is>
      </c>
      <c r="C9" s="9" t="n">
        <v>45000</v>
      </c>
      <c r="D9" s="10" t="n">
        <v>0</v>
      </c>
      <c r="E9" s="10" t="n">
        <v>0</v>
      </c>
      <c r="F9" s="10" t="n">
        <v>0</v>
      </c>
      <c r="G9" s="10" t="n">
        <v>0</v>
      </c>
      <c r="H9" s="10" t="n">
        <v>0</v>
      </c>
      <c r="J9" s="10" t="n">
        <v>0</v>
      </c>
      <c r="K9" s="10" t="n">
        <v>0.1</v>
      </c>
      <c r="L9" s="10" t="n">
        <v>0.2</v>
      </c>
      <c r="M9" s="10" t="n">
        <v>0.3</v>
      </c>
      <c r="N9" s="10" t="n">
        <v>0.4</v>
      </c>
      <c r="P9" s="10" t="n">
        <v>0</v>
      </c>
      <c r="Q9" s="10" t="n">
        <v>0.1</v>
      </c>
      <c r="R9" s="10" t="n">
        <v>0.2</v>
      </c>
      <c r="S9" s="10" t="n">
        <v>0.5</v>
      </c>
      <c r="T9" s="10" t="n">
        <v>0.5</v>
      </c>
    </row>
    <row r="10">
      <c r="A10" s="8" t="inlineStr">
        <is>
          <t>Fundraising / Grants Lead</t>
        </is>
      </c>
      <c r="B10" s="2" t="inlineStr">
        <is>
          <t>Partnerships &amp; Fundraising</t>
        </is>
      </c>
      <c r="C10" s="9" t="n">
        <v>60000</v>
      </c>
      <c r="D10" s="10" t="n">
        <v>0.1</v>
      </c>
      <c r="E10" s="10" t="n">
        <v>0.1</v>
      </c>
      <c r="F10" s="10" t="n">
        <v>0.15</v>
      </c>
      <c r="G10" s="10" t="n">
        <v>0.2</v>
      </c>
      <c r="H10" s="10" t="n">
        <v>0.25</v>
      </c>
      <c r="J10" s="10" t="n">
        <v>0.15</v>
      </c>
      <c r="K10" s="10" t="n">
        <v>0.25</v>
      </c>
      <c r="L10" s="10" t="n">
        <v>0.3</v>
      </c>
      <c r="M10" s="10" t="n">
        <v>0.3</v>
      </c>
      <c r="N10" s="10" t="n">
        <v>0.4</v>
      </c>
      <c r="P10" s="10" t="n">
        <v>0.15</v>
      </c>
      <c r="Q10" s="10" t="n">
        <v>0.25</v>
      </c>
      <c r="R10" s="10" t="n">
        <v>0.35</v>
      </c>
      <c r="S10" s="10" t="n">
        <v>0.5</v>
      </c>
      <c r="T10" s="10" t="n">
        <v>0.5</v>
      </c>
    </row>
    <row r="11">
      <c r="A11" s="8" t="inlineStr">
        <is>
          <t>Partnerships Manager</t>
        </is>
      </c>
      <c r="B11" s="2" t="inlineStr">
        <is>
          <t>Partnerships &amp; Fundraising</t>
        </is>
      </c>
      <c r="C11" s="9" t="n">
        <v>60000</v>
      </c>
      <c r="D11" s="10" t="n">
        <v>0</v>
      </c>
      <c r="E11" s="10" t="n">
        <v>0</v>
      </c>
      <c r="F11" s="10" t="n">
        <v>0</v>
      </c>
      <c r="G11" s="10" t="n">
        <v>0</v>
      </c>
      <c r="H11" s="10" t="n">
        <v>0</v>
      </c>
      <c r="J11" s="10" t="n">
        <v>0</v>
      </c>
      <c r="K11" s="10" t="n">
        <v>0.1</v>
      </c>
      <c r="L11" s="10" t="n">
        <v>0.25</v>
      </c>
      <c r="M11" s="10" t="n">
        <v>0.35</v>
      </c>
      <c r="N11" s="10" t="n">
        <v>0.4</v>
      </c>
      <c r="P11" s="10" t="n">
        <v>0</v>
      </c>
      <c r="Q11" s="10" t="n">
        <v>0.2</v>
      </c>
      <c r="R11" s="10" t="n">
        <v>0.2</v>
      </c>
      <c r="S11" s="10" t="n">
        <v>0.4</v>
      </c>
      <c r="T11" s="10" t="n">
        <v>0.4</v>
      </c>
    </row>
    <row r="12">
      <c r="A12" s="8" t="inlineStr">
        <is>
          <t>Library Coordinator</t>
        </is>
      </c>
      <c r="B12" s="2" t="inlineStr">
        <is>
          <t>Programs</t>
        </is>
      </c>
      <c r="C12" s="9" t="n">
        <v>40000</v>
      </c>
      <c r="D12" s="10" t="n">
        <v>0</v>
      </c>
      <c r="E12" s="10" t="n">
        <v>0</v>
      </c>
      <c r="F12" s="10" t="n">
        <v>0</v>
      </c>
      <c r="G12" s="10" t="n">
        <v>0</v>
      </c>
      <c r="H12" s="10" t="n">
        <v>0</v>
      </c>
      <c r="J12" s="10" t="n">
        <v>0</v>
      </c>
      <c r="K12" s="10" t="n">
        <v>0.1</v>
      </c>
      <c r="L12" s="10" t="n">
        <v>0.15</v>
      </c>
      <c r="M12" s="10" t="n">
        <v>0.2</v>
      </c>
      <c r="N12" s="10" t="n">
        <v>0.3</v>
      </c>
      <c r="P12" s="10" t="n">
        <v>0</v>
      </c>
      <c r="Q12" s="10" t="n">
        <v>0.1</v>
      </c>
      <c r="R12" s="10" t="n">
        <v>0.2</v>
      </c>
      <c r="S12" s="10" t="n">
        <v>0.25</v>
      </c>
      <c r="T12" s="10" t="n">
        <v>0.4</v>
      </c>
    </row>
    <row r="13">
      <c r="A13" s="8" t="inlineStr">
        <is>
          <t>Certification Lead</t>
        </is>
      </c>
      <c r="B13" s="2" t="inlineStr">
        <is>
          <t>Programs</t>
        </is>
      </c>
      <c r="C13" s="9" t="n">
        <v>55000</v>
      </c>
      <c r="D13" s="10" t="n">
        <v>0</v>
      </c>
      <c r="E13" s="10" t="n">
        <v>0</v>
      </c>
      <c r="F13" s="10" t="n">
        <v>0</v>
      </c>
      <c r="G13" s="10" t="n">
        <v>0</v>
      </c>
      <c r="H13" s="10" t="n">
        <v>0</v>
      </c>
      <c r="J13" s="10" t="n">
        <v>0</v>
      </c>
      <c r="K13" s="10" t="n">
        <v>0.1</v>
      </c>
      <c r="L13" s="10" t="n">
        <v>0.2</v>
      </c>
      <c r="M13" s="10" t="n">
        <v>0.3</v>
      </c>
      <c r="N13" s="10" t="n">
        <v>0.4</v>
      </c>
      <c r="P13" s="10" t="n">
        <v>0</v>
      </c>
      <c r="Q13" s="10" t="n">
        <v>0.2</v>
      </c>
      <c r="R13" s="10" t="n">
        <v>0.4</v>
      </c>
      <c r="S13" s="10" t="n">
        <v>0.5</v>
      </c>
      <c r="T13" s="10" t="n">
        <v>0.7</v>
      </c>
    </row>
    <row r="14">
      <c r="A14" s="8" t="inlineStr">
        <is>
          <t>Finance / Office Manager</t>
        </is>
      </c>
      <c r="B14" s="2" t="inlineStr">
        <is>
          <t>Finance &amp; Admin</t>
        </is>
      </c>
      <c r="C14" s="9" t="n">
        <v>45000</v>
      </c>
      <c r="D14" s="10" t="n">
        <v>0</v>
      </c>
      <c r="E14" s="10" t="n">
        <v>0</v>
      </c>
      <c r="F14" s="10" t="n">
        <v>0</v>
      </c>
      <c r="G14" s="10" t="n">
        <v>0</v>
      </c>
      <c r="H14" s="10" t="n">
        <v>0</v>
      </c>
      <c r="J14" s="10" t="n">
        <v>0</v>
      </c>
      <c r="K14" s="10" t="n">
        <v>0</v>
      </c>
      <c r="L14" s="10" t="n">
        <v>0</v>
      </c>
      <c r="M14" s="10" t="n">
        <v>0.1</v>
      </c>
      <c r="N14" s="10" t="n">
        <v>0.2</v>
      </c>
      <c r="P14" s="10" t="n">
        <v>0</v>
      </c>
      <c r="Q14" s="10" t="n">
        <v>0</v>
      </c>
      <c r="R14" s="10" t="n">
        <v>0</v>
      </c>
      <c r="S14" s="10" t="n">
        <v>0.1</v>
      </c>
      <c r="T14" s="10" t="n">
        <v>0.2</v>
      </c>
    </row>
    <row r="15">
      <c r="A15" s="11" t="inlineStr">
        <is>
          <t>Total personnel cost (EUR)</t>
        </is>
      </c>
      <c r="D15" s="12">
        <f>SUMPRODUCT($C$5:$C$14,D$5:D$14)</f>
        <v/>
      </c>
      <c r="E15" s="12">
        <f>SUMPRODUCT($C$5:$C$14,E$5:E$14)</f>
        <v/>
      </c>
      <c r="F15" s="12">
        <f>SUMPRODUCT($C$5:$C$14,F$5:F$14)</f>
        <v/>
      </c>
      <c r="G15" s="12">
        <f>SUMPRODUCT($C$5:$C$14,G$5:G$14)</f>
        <v/>
      </c>
      <c r="H15" s="12">
        <f>SUMPRODUCT($C$5:$C$14,H$5:H$14)</f>
        <v/>
      </c>
      <c r="J15" s="12">
        <f>SUMPRODUCT($C$5:$C$14,J$5:J$14)</f>
        <v/>
      </c>
      <c r="K15" s="12">
        <f>SUMPRODUCT($C$5:$C$14,K$5:K$14)</f>
        <v/>
      </c>
      <c r="L15" s="12">
        <f>SUMPRODUCT($C$5:$C$14,L$5:L$14)</f>
        <v/>
      </c>
      <c r="M15" s="12">
        <f>SUMPRODUCT($C$5:$C$14,M$5:M$14)</f>
        <v/>
      </c>
      <c r="N15" s="12">
        <f>SUMPRODUCT($C$5:$C$14,N$5:N$14)</f>
        <v/>
      </c>
      <c r="P15" s="12">
        <f>SUMPRODUCT($C$5:$C$14,P$5:P$14)</f>
        <v/>
      </c>
      <c r="Q15" s="12">
        <f>SUMPRODUCT($C$5:$C$14,Q$5:Q$14)</f>
        <v/>
      </c>
      <c r="R15" s="12">
        <f>SUMPRODUCT($C$5:$C$14,R$5:R$14)</f>
        <v/>
      </c>
      <c r="S15" s="12">
        <f>SUMPRODUCT($C$5:$C$14,S$5:S$14)</f>
        <v/>
      </c>
      <c r="T15" s="12">
        <f>SUMPRODUCT($C$5:$C$14,T$5:T$14)</f>
        <v/>
      </c>
    </row>
    <row r="16">
      <c r="A16" s="11" t="inlineStr">
        <is>
          <t>Total FTE</t>
        </is>
      </c>
      <c r="D16" s="13">
        <f>SUM(D5:D14)</f>
        <v/>
      </c>
      <c r="E16" s="13">
        <f>SUM(E5:E14)</f>
        <v/>
      </c>
      <c r="F16" s="13">
        <f>SUM(F5:F14)</f>
        <v/>
      </c>
      <c r="G16" s="13">
        <f>SUM(G5:G14)</f>
        <v/>
      </c>
      <c r="H16" s="13">
        <f>SUM(H5:H14)</f>
        <v/>
      </c>
      <c r="J16" s="13">
        <f>SUM(J5:J14)</f>
        <v/>
      </c>
      <c r="K16" s="13">
        <f>SUM(K5:K14)</f>
        <v/>
      </c>
      <c r="L16" s="13">
        <f>SUM(L5:L14)</f>
        <v/>
      </c>
      <c r="M16" s="13">
        <f>SUM(M5:M14)</f>
        <v/>
      </c>
      <c r="N16" s="13">
        <f>SUM(N5:N14)</f>
        <v/>
      </c>
      <c r="P16" s="13">
        <f>SUM(P5:P14)</f>
        <v/>
      </c>
      <c r="Q16" s="13">
        <f>SUM(Q5:Q14)</f>
        <v/>
      </c>
      <c r="R16" s="13">
        <f>SUM(R5:R14)</f>
        <v/>
      </c>
      <c r="S16" s="13">
        <f>SUM(S5:S14)</f>
        <v/>
      </c>
      <c r="T16" s="13">
        <f>SUM(T5:T14)</f>
        <v/>
      </c>
    </row>
    <row r="18">
      <c r="A18" s="3" t="inlineStr">
        <is>
          <t>Volunteer leverage (not in headcount)</t>
        </is>
      </c>
    </row>
    <row r="19" ht="30" customHeight="1">
      <c r="A19" s="4" t="inlineStr">
        <is>
          <t>• Events: on-site setup/teardown, registration desk, game librarians at branded events — volunteer-staffed, overseen by the paid Event Coordinator (where present) or the Community Manager.</t>
        </is>
      </c>
    </row>
    <row r="20" ht="30" customHeight="1">
      <c r="A20" s="4" t="inlineStr">
        <is>
          <t>• Library counter: lending/check-in at the HQ is volunteer-staffed (2–4 regulars per location), coordinated by the HQ/Space Coordinator. This is how Libraries of Things stay viable per the research.</t>
        </is>
      </c>
    </row>
    <row r="21" ht="30" customHeight="1">
      <c r="A21" s="4" t="inlineStr">
        <is>
          <t>• Content: translation (EN/DE), community moderation backstop, documentation — volunteer-contributed.</t>
        </is>
      </c>
    </row>
    <row r="22" ht="30" customHeight="1">
      <c r="A22" s="4" t="inlineStr">
        <is>
          <t>• Engineering: the platform is built; non-critical features and bug-fixes can take open-source-style volunteer contributions, reviewed by the paid Lead Engineer.</t>
        </is>
      </c>
    </row>
    <row r="23" ht="30" customHeight="1">
      <c r="A23" s="4" t="inlineStr">
        <is>
          <t>• The paid roles above cover ONLY accountability/continuity: fundraising, finance/compliance, platform integrity, HQ operations, and (at scale) programme delivery.</t>
        </is>
      </c>
    </row>
  </sheetData>
  <mergeCells count="8">
    <mergeCell ref="A20:O20"/>
    <mergeCell ref="D2:H2"/>
    <mergeCell ref="A19:O19"/>
    <mergeCell ref="J2:N2"/>
    <mergeCell ref="A23:O23"/>
    <mergeCell ref="P2:T2"/>
    <mergeCell ref="A22:O22"/>
    <mergeCell ref="A21:O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7"/>
  <sheetViews>
    <sheetView showGridLines="0" workbookViewId="0">
      <selection activeCell="A1" sqref="A1"/>
    </sheetView>
  </sheetViews>
  <sheetFormatPr baseColWidth="8" defaultRowHeight="15"/>
  <cols>
    <col width="4" customWidth="1" min="1" max="1"/>
    <col width="34" customWidth="1" min="2" max="2"/>
    <col width="12" customWidth="1" min="3" max="3"/>
  </cols>
  <sheetData>
    <row r="1">
      <c r="A1" s="1" t="inlineStr">
        <is>
          <t>Assumptions — non-personnel drivers (yellow cells)</t>
        </is>
      </c>
    </row>
    <row r="2">
      <c r="A2" s="2" t="inlineStr">
        <is>
          <t>Personnel lives on the Headcount sheet. Everything else is here.</t>
        </is>
      </c>
      <c r="D2" s="5" t="inlineStr">
        <is>
          <t>Conservative</t>
        </is>
      </c>
      <c r="J2" s="5" t="inlineStr">
        <is>
          <t>Base</t>
        </is>
      </c>
      <c r="P2" s="5" t="inlineStr">
        <is>
          <t>Ambitious</t>
        </is>
      </c>
    </row>
    <row r="3">
      <c r="A3" s="14" t="inlineStr"/>
      <c r="B3" s="6" t="inlineStr">
        <is>
          <t>Driver</t>
        </is>
      </c>
      <c r="C3" s="6" t="inlineStr">
        <is>
          <t>Unit</t>
        </is>
      </c>
      <c r="D3" s="7" t="inlineStr">
        <is>
          <t>Y1</t>
        </is>
      </c>
      <c r="E3" s="7" t="inlineStr">
        <is>
          <t>Y2</t>
        </is>
      </c>
      <c r="F3" s="7" t="inlineStr">
        <is>
          <t>Y3</t>
        </is>
      </c>
      <c r="G3" s="7" t="inlineStr">
        <is>
          <t>Y4</t>
        </is>
      </c>
      <c r="H3" s="7" t="inlineStr">
        <is>
          <t>Y5</t>
        </is>
      </c>
      <c r="J3" s="7" t="inlineStr">
        <is>
          <t>Y1</t>
        </is>
      </c>
      <c r="K3" s="7" t="inlineStr">
        <is>
          <t>Y2</t>
        </is>
      </c>
      <c r="L3" s="7" t="inlineStr">
        <is>
          <t>Y3</t>
        </is>
      </c>
      <c r="M3" s="7" t="inlineStr">
        <is>
          <t>Y4</t>
        </is>
      </c>
      <c r="N3" s="7" t="inlineStr">
        <is>
          <t>Y5</t>
        </is>
      </c>
      <c r="P3" s="7" t="inlineStr">
        <is>
          <t>Y1</t>
        </is>
      </c>
      <c r="Q3" s="7" t="inlineStr">
        <is>
          <t>Y2</t>
        </is>
      </c>
      <c r="R3" s="7" t="inlineStr">
        <is>
          <t>Y3</t>
        </is>
      </c>
      <c r="S3" s="7" t="inlineStr">
        <is>
          <t>Y4</t>
        </is>
      </c>
      <c r="T3" s="7" t="inlineStr">
        <is>
          <t>Y5</t>
        </is>
      </c>
    </row>
    <row r="4" ht="16" customHeight="1">
      <c r="B4" s="8" t="inlineStr">
        <is>
          <t>Monthly active users</t>
        </is>
      </c>
      <c r="C4" s="2" t="inlineStr">
        <is>
          <t>users</t>
        </is>
      </c>
      <c r="D4" s="15" t="n">
        <v>300</v>
      </c>
      <c r="E4" s="15" t="n">
        <v>700</v>
      </c>
      <c r="F4" s="15" t="n">
        <v>1200</v>
      </c>
      <c r="G4" s="15" t="n">
        <v>2000</v>
      </c>
      <c r="H4" s="15" t="n">
        <v>3000</v>
      </c>
      <c r="J4" s="15" t="n">
        <v>1200</v>
      </c>
      <c r="K4" s="15" t="n">
        <v>3000</v>
      </c>
      <c r="L4" s="15" t="n">
        <v>8000</v>
      </c>
      <c r="M4" s="15" t="n">
        <v>21000</v>
      </c>
      <c r="N4" s="15" t="n">
        <v>50000</v>
      </c>
      <c r="P4" s="15" t="n">
        <v>3000</v>
      </c>
      <c r="Q4" s="15" t="n">
        <v>8000</v>
      </c>
      <c r="R4" s="15" t="n">
        <v>25000</v>
      </c>
      <c r="S4" s="15" t="n">
        <v>60000</v>
      </c>
      <c r="T4" s="15" t="n">
        <v>120000</v>
      </c>
    </row>
    <row r="5" ht="16" customHeight="1">
      <c r="B5" s="8" t="inlineStr">
        <is>
          <t>Paid seats sold</t>
        </is>
      </c>
      <c r="C5" s="2" t="inlineStr">
        <is>
          <t>seats/yr</t>
        </is>
      </c>
      <c r="D5" s="15" t="n">
        <v>150</v>
      </c>
      <c r="E5" s="15" t="n">
        <v>400</v>
      </c>
      <c r="F5" s="15" t="n">
        <v>900</v>
      </c>
      <c r="G5" s="15" t="n">
        <v>1600</v>
      </c>
      <c r="H5" s="15" t="n">
        <v>2500</v>
      </c>
      <c r="J5" s="15" t="n">
        <v>800</v>
      </c>
      <c r="K5" s="15" t="n">
        <v>2500</v>
      </c>
      <c r="L5" s="15" t="n">
        <v>6500</v>
      </c>
      <c r="M5" s="15" t="n">
        <v>14000</v>
      </c>
      <c r="N5" s="15" t="n">
        <v>27000</v>
      </c>
      <c r="P5" s="15" t="n">
        <v>2500</v>
      </c>
      <c r="Q5" s="15" t="n">
        <v>7000</v>
      </c>
      <c r="R5" s="15" t="n">
        <v>20000</v>
      </c>
      <c r="S5" s="15" t="n">
        <v>38000</v>
      </c>
      <c r="T5" s="15" t="n">
        <v>75000</v>
      </c>
    </row>
    <row r="6" ht="16" customHeight="1">
      <c r="B6" s="8" t="inlineStr">
        <is>
          <t>Average seat price</t>
        </is>
      </c>
      <c r="C6" s="2" t="inlineStr">
        <is>
          <t>EUR</t>
        </is>
      </c>
      <c r="D6" s="16" t="n">
        <v>16</v>
      </c>
      <c r="E6" s="16" t="n">
        <v>16</v>
      </c>
      <c r="F6" s="16" t="n">
        <v>17</v>
      </c>
      <c r="G6" s="16" t="n">
        <v>17</v>
      </c>
      <c r="H6" s="16" t="n">
        <v>18</v>
      </c>
      <c r="J6" s="16" t="n">
        <v>18</v>
      </c>
      <c r="K6" s="16" t="n">
        <v>19</v>
      </c>
      <c r="L6" s="16" t="n">
        <v>20</v>
      </c>
      <c r="M6" s="16" t="n">
        <v>21</v>
      </c>
      <c r="N6" s="16" t="n">
        <v>22</v>
      </c>
      <c r="P6" s="16" t="n">
        <v>18</v>
      </c>
      <c r="Q6" s="16" t="n">
        <v>19</v>
      </c>
      <c r="R6" s="16" t="n">
        <v>21</v>
      </c>
      <c r="S6" s="16" t="n">
        <v>22</v>
      </c>
      <c r="T6" s="16" t="n">
        <v>24</v>
      </c>
    </row>
    <row r="7" ht="16" customHeight="1">
      <c r="B7" s="8" t="inlineStr">
        <is>
          <t>Commission take rate</t>
        </is>
      </c>
      <c r="C7" s="2" t="inlineStr">
        <is>
          <t>%</t>
        </is>
      </c>
      <c r="D7" s="17" t="n">
        <v>0.06</v>
      </c>
      <c r="E7" s="17" t="n">
        <v>0.06</v>
      </c>
      <c r="F7" s="17" t="n">
        <v>0.07000000000000001</v>
      </c>
      <c r="G7" s="17" t="n">
        <v>0.07000000000000001</v>
      </c>
      <c r="H7" s="17" t="n">
        <v>0.08</v>
      </c>
      <c r="J7" s="17" t="n">
        <v>0.09</v>
      </c>
      <c r="K7" s="17" t="n">
        <v>0.1</v>
      </c>
      <c r="L7" s="17" t="n">
        <v>0.11</v>
      </c>
      <c r="M7" s="17" t="n">
        <v>0.12</v>
      </c>
      <c r="N7" s="17" t="n">
        <v>0.13</v>
      </c>
      <c r="P7" s="17" t="n">
        <v>0.08</v>
      </c>
      <c r="Q7" s="17" t="n">
        <v>0.09</v>
      </c>
      <c r="R7" s="17" t="n">
        <v>0.1</v>
      </c>
      <c r="S7" s="17" t="n">
        <v>0.1</v>
      </c>
      <c r="T7" s="17" t="n">
        <v>0.11</v>
      </c>
    </row>
    <row r="8" ht="16" customHeight="1">
      <c r="B8" s="8" t="inlineStr">
        <is>
          <t>Paying GMs (avg in year)</t>
        </is>
      </c>
      <c r="C8" s="2" t="inlineStr">
        <is>
          <t>GMs</t>
        </is>
      </c>
      <c r="D8" s="15" t="n">
        <v>5</v>
      </c>
      <c r="E8" s="15" t="n">
        <v>12</v>
      </c>
      <c r="F8" s="15" t="n">
        <v>22</v>
      </c>
      <c r="G8" s="15" t="n">
        <v>35</v>
      </c>
      <c r="H8" s="15" t="n">
        <v>55</v>
      </c>
      <c r="J8" s="15" t="n">
        <v>15</v>
      </c>
      <c r="K8" s="15" t="n">
        <v>45</v>
      </c>
      <c r="L8" s="15" t="n">
        <v>90</v>
      </c>
      <c r="M8" s="15" t="n">
        <v>160</v>
      </c>
      <c r="N8" s="15" t="n">
        <v>260</v>
      </c>
      <c r="P8" s="15" t="n">
        <v>40</v>
      </c>
      <c r="Q8" s="15" t="n">
        <v>110</v>
      </c>
      <c r="R8" s="15" t="n">
        <v>230</v>
      </c>
      <c r="S8" s="15" t="n">
        <v>420</v>
      </c>
      <c r="T8" s="15" t="n">
        <v>700</v>
      </c>
    </row>
    <row r="9" ht="16" customHeight="1">
      <c r="B9" s="8" t="inlineStr">
        <is>
          <t>GM subscription price</t>
        </is>
      </c>
      <c r="C9" s="2" t="inlineStr">
        <is>
          <t>EUR/mo</t>
        </is>
      </c>
      <c r="D9" s="16" t="n">
        <v>7.99</v>
      </c>
      <c r="E9" s="16" t="n">
        <v>7.99</v>
      </c>
      <c r="F9" s="16" t="n">
        <v>8.99</v>
      </c>
      <c r="G9" s="16" t="n">
        <v>8.99</v>
      </c>
      <c r="H9" s="16" t="n">
        <v>9.99</v>
      </c>
      <c r="J9" s="16" t="n">
        <v>10.99</v>
      </c>
      <c r="K9" s="16" t="n">
        <v>11.99</v>
      </c>
      <c r="L9" s="16" t="n">
        <v>12.99</v>
      </c>
      <c r="M9" s="16" t="n">
        <v>13.99</v>
      </c>
      <c r="N9" s="16" t="n">
        <v>14.99</v>
      </c>
      <c r="P9" s="16" t="n">
        <v>9.99</v>
      </c>
      <c r="Q9" s="16" t="n">
        <v>10.99</v>
      </c>
      <c r="R9" s="16" t="n">
        <v>11.99</v>
      </c>
      <c r="S9" s="16" t="n">
        <v>12.99</v>
      </c>
      <c r="T9" s="16" t="n">
        <v>13.99</v>
      </c>
    </row>
    <row r="10" ht="16" customHeight="1">
      <c r="B10" s="8" t="inlineStr">
        <is>
          <t>Branded events</t>
        </is>
      </c>
      <c r="C10" s="2" t="inlineStr">
        <is>
          <t>events</t>
        </is>
      </c>
      <c r="D10" s="15" t="n">
        <v>0</v>
      </c>
      <c r="E10" s="15" t="n">
        <v>1</v>
      </c>
      <c r="F10" s="15" t="n">
        <v>1</v>
      </c>
      <c r="G10" s="15" t="n">
        <v>2</v>
      </c>
      <c r="H10" s="15" t="n">
        <v>2</v>
      </c>
      <c r="J10" s="15" t="n">
        <v>1</v>
      </c>
      <c r="K10" s="15" t="n">
        <v>2</v>
      </c>
      <c r="L10" s="15" t="n">
        <v>4</v>
      </c>
      <c r="M10" s="15" t="n">
        <v>8</v>
      </c>
      <c r="N10" s="15" t="n">
        <v>16</v>
      </c>
      <c r="P10" s="15" t="n">
        <v>2</v>
      </c>
      <c r="Q10" s="15" t="n">
        <v>4</v>
      </c>
      <c r="R10" s="15" t="n">
        <v>8</v>
      </c>
      <c r="S10" s="15" t="n">
        <v>16</v>
      </c>
      <c r="T10" s="15" t="n">
        <v>32</v>
      </c>
    </row>
    <row r="11" ht="16" customHeight="1">
      <c r="B11" s="8" t="inlineStr">
        <is>
          <t>Avg attendance per event</t>
        </is>
      </c>
      <c r="C11" s="2" t="inlineStr">
        <is>
          <t>people</t>
        </is>
      </c>
      <c r="D11" s="15" t="n">
        <v>0</v>
      </c>
      <c r="E11" s="15" t="n">
        <v>50</v>
      </c>
      <c r="F11" s="15" t="n">
        <v>70</v>
      </c>
      <c r="G11" s="15" t="n">
        <v>100</v>
      </c>
      <c r="H11" s="15" t="n">
        <v>120</v>
      </c>
      <c r="J11" s="15" t="n">
        <v>80</v>
      </c>
      <c r="K11" s="15" t="n">
        <v>120</v>
      </c>
      <c r="L11" s="15" t="n">
        <v>180</v>
      </c>
      <c r="M11" s="15" t="n">
        <v>250</v>
      </c>
      <c r="N11" s="15" t="n">
        <v>350</v>
      </c>
      <c r="P11" s="15" t="n">
        <v>100</v>
      </c>
      <c r="Q11" s="15" t="n">
        <v>180</v>
      </c>
      <c r="R11" s="15" t="n">
        <v>300</v>
      </c>
      <c r="S11" s="15" t="n">
        <v>450</v>
      </c>
      <c r="T11" s="15" t="n">
        <v>600</v>
      </c>
    </row>
    <row r="12" ht="16" customHeight="1">
      <c r="B12" s="8" t="inlineStr">
        <is>
          <t>Event ticket price</t>
        </is>
      </c>
      <c r="C12" s="2" t="inlineStr">
        <is>
          <t>EUR</t>
        </is>
      </c>
      <c r="D12" s="16" t="n">
        <v>0</v>
      </c>
      <c r="E12" s="16" t="n">
        <v>12</v>
      </c>
      <c r="F12" s="16" t="n">
        <v>14</v>
      </c>
      <c r="G12" s="16" t="n">
        <v>15</v>
      </c>
      <c r="H12" s="16" t="n">
        <v>16</v>
      </c>
      <c r="J12" s="16" t="n">
        <v>15</v>
      </c>
      <c r="K12" s="16" t="n">
        <v>18</v>
      </c>
      <c r="L12" s="16" t="n">
        <v>22</v>
      </c>
      <c r="M12" s="16" t="n">
        <v>25</v>
      </c>
      <c r="N12" s="16" t="n">
        <v>28</v>
      </c>
      <c r="P12" s="16" t="n">
        <v>16</v>
      </c>
      <c r="Q12" s="16" t="n">
        <v>20</v>
      </c>
      <c r="R12" s="16" t="n">
        <v>25</v>
      </c>
      <c r="S12" s="16" t="n">
        <v>28</v>
      </c>
      <c r="T12" s="16" t="n">
        <v>32</v>
      </c>
    </row>
    <row r="13" ht="16" customHeight="1">
      <c r="B13" s="8" t="inlineStr">
        <is>
          <t>Event cost per attendee</t>
        </is>
      </c>
      <c r="C13" s="2" t="inlineStr">
        <is>
          <t>EUR</t>
        </is>
      </c>
      <c r="D13" s="16" t="n">
        <v>0</v>
      </c>
      <c r="E13" s="16" t="n">
        <v>9</v>
      </c>
      <c r="F13" s="16" t="n">
        <v>10</v>
      </c>
      <c r="G13" s="16" t="n">
        <v>10</v>
      </c>
      <c r="H13" s="16" t="n">
        <v>10</v>
      </c>
      <c r="J13" s="16" t="n">
        <v>11</v>
      </c>
      <c r="K13" s="16" t="n">
        <v>12</v>
      </c>
      <c r="L13" s="16" t="n">
        <v>14</v>
      </c>
      <c r="M13" s="16" t="n">
        <v>15</v>
      </c>
      <c r="N13" s="16" t="n">
        <v>16</v>
      </c>
      <c r="P13" s="16" t="n">
        <v>11</v>
      </c>
      <c r="Q13" s="16" t="n">
        <v>12</v>
      </c>
      <c r="R13" s="16" t="n">
        <v>14</v>
      </c>
      <c r="S13" s="16" t="n">
        <v>15</v>
      </c>
      <c r="T13" s="16" t="n">
        <v>16</v>
      </c>
    </row>
    <row r="14" ht="16" customHeight="1">
      <c r="B14" s="8" t="inlineStr">
        <is>
          <t>Library-tier members</t>
        </is>
      </c>
      <c r="C14" s="2" t="inlineStr">
        <is>
          <t>members</t>
        </is>
      </c>
      <c r="D14" s="15" t="n">
        <v>0</v>
      </c>
      <c r="E14" s="15" t="n">
        <v>20</v>
      </c>
      <c r="F14" s="15" t="n">
        <v>35</v>
      </c>
      <c r="G14" s="15" t="n">
        <v>55</v>
      </c>
      <c r="H14" s="15" t="n">
        <v>80</v>
      </c>
      <c r="J14" s="15" t="n">
        <v>30</v>
      </c>
      <c r="K14" s="15" t="n">
        <v>80</v>
      </c>
      <c r="L14" s="15" t="n">
        <v>150</v>
      </c>
      <c r="M14" s="15" t="n">
        <v>250</v>
      </c>
      <c r="N14" s="15" t="n">
        <v>380</v>
      </c>
      <c r="P14" s="15" t="n">
        <v>60</v>
      </c>
      <c r="Q14" s="15" t="n">
        <v>160</v>
      </c>
      <c r="R14" s="15" t="n">
        <v>320</v>
      </c>
      <c r="S14" s="15" t="n">
        <v>550</v>
      </c>
      <c r="T14" s="15" t="n">
        <v>850</v>
      </c>
    </row>
    <row r="15" ht="16" customHeight="1">
      <c r="B15" s="8" t="inlineStr">
        <is>
          <t>Library tier fee</t>
        </is>
      </c>
      <c r="C15" s="2" t="inlineStr">
        <is>
          <t>EUR/mo</t>
        </is>
      </c>
      <c r="D15" s="16" t="n">
        <v>3.99</v>
      </c>
      <c r="E15" s="16" t="n">
        <v>3.99</v>
      </c>
      <c r="F15" s="16" t="n">
        <v>4.49</v>
      </c>
      <c r="G15" s="16" t="n">
        <v>4.49</v>
      </c>
      <c r="H15" s="16" t="n">
        <v>4.99</v>
      </c>
      <c r="J15" s="16" t="n">
        <v>4.99</v>
      </c>
      <c r="K15" s="16" t="n">
        <v>5.49</v>
      </c>
      <c r="L15" s="16" t="n">
        <v>5.99</v>
      </c>
      <c r="M15" s="16" t="n">
        <v>6.49</v>
      </c>
      <c r="N15" s="16" t="n">
        <v>6.99</v>
      </c>
      <c r="P15" s="16" t="n">
        <v>5.99</v>
      </c>
      <c r="Q15" s="16" t="n">
        <v>6.49</v>
      </c>
      <c r="R15" s="16" t="n">
        <v>6.99</v>
      </c>
      <c r="S15" s="16" t="n">
        <v>7.49</v>
      </c>
      <c r="T15" s="16" t="n">
        <v>7.99</v>
      </c>
    </row>
    <row r="16" ht="16" customHeight="1">
      <c r="B16" s="8" t="inlineStr">
        <is>
          <t>Library shrinkage &amp; replenish</t>
        </is>
      </c>
      <c r="C16" s="2" t="inlineStr">
        <is>
          <t>EUR/yr</t>
        </is>
      </c>
      <c r="D16" s="18" t="n">
        <v>0</v>
      </c>
      <c r="E16" s="18" t="n">
        <v>300</v>
      </c>
      <c r="F16" s="18" t="n">
        <v>350</v>
      </c>
      <c r="G16" s="18" t="n">
        <v>400</v>
      </c>
      <c r="H16" s="18" t="n">
        <v>600</v>
      </c>
      <c r="J16" s="18" t="n">
        <v>400</v>
      </c>
      <c r="K16" s="18" t="n">
        <v>450</v>
      </c>
      <c r="L16" s="18" t="n">
        <v>500</v>
      </c>
      <c r="M16" s="18" t="n">
        <v>700</v>
      </c>
      <c r="N16" s="18" t="n">
        <v>800</v>
      </c>
      <c r="P16" s="18" t="n">
        <v>500</v>
      </c>
      <c r="Q16" s="18" t="n">
        <v>600</v>
      </c>
      <c r="R16" s="18" t="n">
        <v>900</v>
      </c>
      <c r="S16" s="18" t="n">
        <v>1300</v>
      </c>
      <c r="T16" s="18" t="n">
        <v>1500</v>
      </c>
    </row>
    <row r="17" ht="16" customHeight="1">
      <c r="B17" s="8" t="inlineStr">
        <is>
          <t>Library inventory (partnership)</t>
        </is>
      </c>
      <c r="C17" s="2" t="inlineStr">
        <is>
          <t>EUR/yr</t>
        </is>
      </c>
      <c r="D17" s="18" t="n">
        <v>0</v>
      </c>
      <c r="E17" s="18" t="n">
        <v>1500</v>
      </c>
      <c r="F17" s="18" t="n">
        <v>0</v>
      </c>
      <c r="G17" s="18" t="n">
        <v>0</v>
      </c>
      <c r="H17" s="18" t="n">
        <v>1500</v>
      </c>
      <c r="J17" s="18" t="n">
        <v>2000</v>
      </c>
      <c r="K17" s="18" t="n">
        <v>0</v>
      </c>
      <c r="L17" s="18" t="n">
        <v>0</v>
      </c>
      <c r="M17" s="18" t="n">
        <v>2000</v>
      </c>
      <c r="N17" s="18" t="n">
        <v>0</v>
      </c>
      <c r="P17" s="18" t="n">
        <v>2500</v>
      </c>
      <c r="Q17" s="18" t="n">
        <v>0</v>
      </c>
      <c r="R17" s="18" t="n">
        <v>2500</v>
      </c>
      <c r="S17" s="18" t="n">
        <v>2500</v>
      </c>
      <c r="T17" s="18" t="n">
        <v>0</v>
      </c>
    </row>
    <row r="18" ht="16" customHeight="1">
      <c r="B18" s="8" t="inlineStr">
        <is>
          <t>New certifications</t>
        </is>
      </c>
      <c r="C18" s="2" t="inlineStr">
        <is>
          <t>certs/yr</t>
        </is>
      </c>
      <c r="D18" s="15" t="n">
        <v>0</v>
      </c>
      <c r="E18" s="15" t="n">
        <v>8</v>
      </c>
      <c r="F18" s="15" t="n">
        <v>12</v>
      </c>
      <c r="G18" s="15" t="n">
        <v>18</v>
      </c>
      <c r="H18" s="15" t="n">
        <v>25</v>
      </c>
      <c r="J18" s="15" t="n">
        <v>15</v>
      </c>
      <c r="K18" s="15" t="n">
        <v>30</v>
      </c>
      <c r="L18" s="15" t="n">
        <v>50</v>
      </c>
      <c r="M18" s="15" t="n">
        <v>75</v>
      </c>
      <c r="N18" s="15" t="n">
        <v>110</v>
      </c>
      <c r="P18" s="15" t="n">
        <v>25</v>
      </c>
      <c r="Q18" s="15" t="n">
        <v>60</v>
      </c>
      <c r="R18" s="15" t="n">
        <v>110</v>
      </c>
      <c r="S18" s="15" t="n">
        <v>180</v>
      </c>
      <c r="T18" s="15" t="n">
        <v>260</v>
      </c>
    </row>
    <row r="19" ht="16" customHeight="1">
      <c r="B19" s="8" t="inlineStr">
        <is>
          <t>Certification fee</t>
        </is>
      </c>
      <c r="C19" s="2" t="inlineStr">
        <is>
          <t>EUR</t>
        </is>
      </c>
      <c r="D19" s="16" t="n">
        <v>0</v>
      </c>
      <c r="E19" s="16" t="n">
        <v>99</v>
      </c>
      <c r="F19" s="16" t="n">
        <v>99</v>
      </c>
      <c r="G19" s="16" t="n">
        <v>129</v>
      </c>
      <c r="H19" s="16" t="n">
        <v>129</v>
      </c>
      <c r="J19" s="16" t="n">
        <v>179</v>
      </c>
      <c r="K19" s="16" t="n">
        <v>199</v>
      </c>
      <c r="L19" s="16" t="n">
        <v>229</v>
      </c>
      <c r="M19" s="16" t="n">
        <v>259</v>
      </c>
      <c r="N19" s="16" t="n">
        <v>289</v>
      </c>
      <c r="P19" s="16" t="n">
        <v>179</v>
      </c>
      <c r="Q19" s="16" t="n">
        <v>199</v>
      </c>
      <c r="R19" s="16" t="n">
        <v>219</v>
      </c>
      <c r="S19" s="16" t="n">
        <v>249</v>
      </c>
      <c r="T19" s="16" t="n">
        <v>269</v>
      </c>
    </row>
    <row r="20" ht="16" customHeight="1">
      <c r="B20" s="8" t="inlineStr">
        <is>
          <t>Curriculum development</t>
        </is>
      </c>
      <c r="C20" s="2" t="inlineStr">
        <is>
          <t>EUR/yr</t>
        </is>
      </c>
      <c r="D20" s="18" t="n">
        <v>500</v>
      </c>
      <c r="E20" s="18" t="n">
        <v>200</v>
      </c>
      <c r="F20" s="18" t="n">
        <v>200</v>
      </c>
      <c r="G20" s="18" t="n">
        <v>300</v>
      </c>
      <c r="H20" s="18" t="n">
        <v>300</v>
      </c>
      <c r="J20" s="18" t="n">
        <v>3000</v>
      </c>
      <c r="K20" s="18" t="n">
        <v>500</v>
      </c>
      <c r="L20" s="18" t="n">
        <v>500</v>
      </c>
      <c r="M20" s="18" t="n">
        <v>1000</v>
      </c>
      <c r="N20" s="18" t="n">
        <v>1000</v>
      </c>
      <c r="P20" s="18" t="n">
        <v>5000</v>
      </c>
      <c r="Q20" s="18" t="n">
        <v>1000</v>
      </c>
      <c r="R20" s="18" t="n">
        <v>1500</v>
      </c>
      <c r="S20" s="18" t="n">
        <v>2500</v>
      </c>
      <c r="T20" s="18" t="n">
        <v>2500</v>
      </c>
    </row>
    <row r="21" ht="16" customHeight="1">
      <c r="B21" s="8" t="inlineStr">
        <is>
          <t>Assessment + credentialing</t>
        </is>
      </c>
      <c r="C21" s="2" t="inlineStr">
        <is>
          <t>EUR/cert</t>
        </is>
      </c>
      <c r="D21" s="16" t="n">
        <v>0</v>
      </c>
      <c r="E21" s="16" t="n">
        <v>25</v>
      </c>
      <c r="F21" s="16" t="n">
        <v>25</v>
      </c>
      <c r="G21" s="16" t="n">
        <v>30</v>
      </c>
      <c r="H21" s="16" t="n">
        <v>30</v>
      </c>
      <c r="J21" s="16" t="n">
        <v>30</v>
      </c>
      <c r="K21" s="16" t="n">
        <v>30</v>
      </c>
      <c r="L21" s="16" t="n">
        <v>35</v>
      </c>
      <c r="M21" s="16" t="n">
        <v>40</v>
      </c>
      <c r="N21" s="16" t="n">
        <v>45</v>
      </c>
      <c r="P21" s="16" t="n">
        <v>35</v>
      </c>
      <c r="Q21" s="16" t="n">
        <v>40</v>
      </c>
      <c r="R21" s="16" t="n">
        <v>45</v>
      </c>
      <c r="S21" s="16" t="n">
        <v>50</v>
      </c>
      <c r="T21" s="16" t="n">
        <v>55</v>
      </c>
    </row>
    <row r="22" ht="16" customHeight="1">
      <c r="B22" s="8" t="inlineStr">
        <is>
          <t>B2B events booked</t>
        </is>
      </c>
      <c r="C22" s="2" t="inlineStr">
        <is>
          <t>events</t>
        </is>
      </c>
      <c r="D22" s="15" t="n">
        <v>0</v>
      </c>
      <c r="E22" s="15" t="n">
        <v>2</v>
      </c>
      <c r="F22" s="15" t="n">
        <v>4</v>
      </c>
      <c r="G22" s="15" t="n">
        <v>7</v>
      </c>
      <c r="H22" s="15" t="n">
        <v>10</v>
      </c>
      <c r="J22" s="15" t="n">
        <v>6</v>
      </c>
      <c r="K22" s="15" t="n">
        <v>16</v>
      </c>
      <c r="L22" s="15" t="n">
        <v>36</v>
      </c>
      <c r="M22" s="15" t="n">
        <v>75</v>
      </c>
      <c r="N22" s="15" t="n">
        <v>150</v>
      </c>
      <c r="P22" s="15" t="n">
        <v>6</v>
      </c>
      <c r="Q22" s="15" t="n">
        <v>18</v>
      </c>
      <c r="R22" s="15" t="n">
        <v>40</v>
      </c>
      <c r="S22" s="15" t="n">
        <v>100</v>
      </c>
      <c r="T22" s="15" t="n">
        <v>200</v>
      </c>
    </row>
    <row r="23" ht="16" customHeight="1">
      <c r="B23" s="8" t="inlineStr">
        <is>
          <t>Attendance per B2B event</t>
        </is>
      </c>
      <c r="C23" s="2" t="inlineStr">
        <is>
          <t>people</t>
        </is>
      </c>
      <c r="D23" s="15" t="n">
        <v>0</v>
      </c>
      <c r="E23" s="15" t="n">
        <v>15</v>
      </c>
      <c r="F23" s="15" t="n">
        <v>18</v>
      </c>
      <c r="G23" s="15" t="n">
        <v>20</v>
      </c>
      <c r="H23" s="15" t="n">
        <v>22</v>
      </c>
      <c r="J23" s="15" t="n">
        <v>18</v>
      </c>
      <c r="K23" s="15" t="n">
        <v>20</v>
      </c>
      <c r="L23" s="15" t="n">
        <v>22</v>
      </c>
      <c r="M23" s="15" t="n">
        <v>25</v>
      </c>
      <c r="N23" s="15" t="n">
        <v>28</v>
      </c>
      <c r="P23" s="15" t="n">
        <v>20</v>
      </c>
      <c r="Q23" s="15" t="n">
        <v>22</v>
      </c>
      <c r="R23" s="15" t="n">
        <v>25</v>
      </c>
      <c r="S23" s="15" t="n">
        <v>28</v>
      </c>
      <c r="T23" s="15" t="n">
        <v>30</v>
      </c>
    </row>
    <row r="24" ht="16" customHeight="1">
      <c r="B24" s="8" t="inlineStr">
        <is>
          <t>B2B price per attendee</t>
        </is>
      </c>
      <c r="C24" s="2" t="inlineStr">
        <is>
          <t>EUR</t>
        </is>
      </c>
      <c r="D24" s="16" t="n">
        <v>0</v>
      </c>
      <c r="E24" s="16" t="n">
        <v>35</v>
      </c>
      <c r="F24" s="16" t="n">
        <v>38</v>
      </c>
      <c r="G24" s="16" t="n">
        <v>40</v>
      </c>
      <c r="H24" s="16" t="n">
        <v>42</v>
      </c>
      <c r="J24" s="16" t="n">
        <v>42</v>
      </c>
      <c r="K24" s="16" t="n">
        <v>48</v>
      </c>
      <c r="L24" s="16" t="n">
        <v>55</v>
      </c>
      <c r="M24" s="16" t="n">
        <v>62</v>
      </c>
      <c r="N24" s="16" t="n">
        <v>70</v>
      </c>
      <c r="P24" s="16" t="n">
        <v>45</v>
      </c>
      <c r="Q24" s="16" t="n">
        <v>50</v>
      </c>
      <c r="R24" s="16" t="n">
        <v>55</v>
      </c>
      <c r="S24" s="16" t="n">
        <v>60</v>
      </c>
      <c r="T24" s="16" t="n">
        <v>65</v>
      </c>
    </row>
    <row r="25" ht="16" customHeight="1">
      <c r="B25" s="8" t="inlineStr">
        <is>
          <t>B2B commission rate</t>
        </is>
      </c>
      <c r="C25" s="2" t="inlineStr">
        <is>
          <t>%</t>
        </is>
      </c>
      <c r="D25" s="17" t="n">
        <v>0.1</v>
      </c>
      <c r="E25" s="17" t="n">
        <v>0.1</v>
      </c>
      <c r="F25" s="17" t="n">
        <v>0.12</v>
      </c>
      <c r="G25" s="17" t="n">
        <v>0.12</v>
      </c>
      <c r="H25" s="17" t="n">
        <v>0.15</v>
      </c>
      <c r="J25" s="17" t="n">
        <v>0.13</v>
      </c>
      <c r="K25" s="17" t="n">
        <v>0.15</v>
      </c>
      <c r="L25" s="17" t="n">
        <v>0.17</v>
      </c>
      <c r="M25" s="17" t="n">
        <v>0.18</v>
      </c>
      <c r="N25" s="17" t="n">
        <v>0.2</v>
      </c>
      <c r="P25" s="17" t="n">
        <v>0.13</v>
      </c>
      <c r="Q25" s="17" t="n">
        <v>0.15</v>
      </c>
      <c r="R25" s="17" t="n">
        <v>0.16</v>
      </c>
      <c r="S25" s="17" t="n">
        <v>0.18</v>
      </c>
      <c r="T25" s="17" t="n">
        <v>0.2</v>
      </c>
    </row>
    <row r="26" ht="16" customHeight="1">
      <c r="B26" s="8" t="inlineStr">
        <is>
          <t>Grants (project + program)</t>
        </is>
      </c>
      <c r="C26" s="2" t="inlineStr">
        <is>
          <t>EUR/yr</t>
        </is>
      </c>
      <c r="D26" s="18" t="n">
        <v>15000</v>
      </c>
      <c r="E26" s="18" t="n">
        <v>25000</v>
      </c>
      <c r="F26" s="18" t="n">
        <v>40000</v>
      </c>
      <c r="G26" s="18" t="n">
        <v>50000</v>
      </c>
      <c r="H26" s="18" t="n">
        <v>60000</v>
      </c>
      <c r="J26" s="18" t="n">
        <v>55000</v>
      </c>
      <c r="K26" s="18" t="n">
        <v>115000</v>
      </c>
      <c r="L26" s="18" t="n">
        <v>200000</v>
      </c>
      <c r="M26" s="18" t="n">
        <v>180000</v>
      </c>
      <c r="N26" s="18" t="n">
        <v>160000</v>
      </c>
      <c r="P26" s="18" t="n">
        <v>80000</v>
      </c>
      <c r="Q26" s="18" t="n">
        <v>160000</v>
      </c>
      <c r="R26" s="18" t="n">
        <v>260000</v>
      </c>
      <c r="S26" s="18" t="n">
        <v>350000</v>
      </c>
      <c r="T26" s="18" t="n">
        <v>420000</v>
      </c>
    </row>
    <row r="27" ht="16" customHeight="1">
      <c r="B27" s="8" t="inlineStr">
        <is>
          <t>Recurring donors</t>
        </is>
      </c>
      <c r="C27" s="2" t="inlineStr">
        <is>
          <t>donors</t>
        </is>
      </c>
      <c r="D27" s="15" t="n">
        <v>10</v>
      </c>
      <c r="E27" s="15" t="n">
        <v>25</v>
      </c>
      <c r="F27" s="15" t="n">
        <v>45</v>
      </c>
      <c r="G27" s="15" t="n">
        <v>70</v>
      </c>
      <c r="H27" s="15" t="n">
        <v>100</v>
      </c>
      <c r="J27" s="15" t="n">
        <v>40</v>
      </c>
      <c r="K27" s="15" t="n">
        <v>80</v>
      </c>
      <c r="L27" s="15" t="n">
        <v>150</v>
      </c>
      <c r="M27" s="15" t="n">
        <v>250</v>
      </c>
      <c r="N27" s="15" t="n">
        <v>400</v>
      </c>
      <c r="P27" s="15" t="n">
        <v>80</v>
      </c>
      <c r="Q27" s="15" t="n">
        <v>200</v>
      </c>
      <c r="R27" s="15" t="n">
        <v>450</v>
      </c>
      <c r="S27" s="15" t="n">
        <v>800</v>
      </c>
      <c r="T27" s="15" t="n">
        <v>1300</v>
      </c>
    </row>
    <row r="28" ht="16" customHeight="1">
      <c r="B28" s="8" t="inlineStr">
        <is>
          <t>Avg recurring donation</t>
        </is>
      </c>
      <c r="C28" s="2" t="inlineStr">
        <is>
          <t>EUR/yr</t>
        </is>
      </c>
      <c r="D28" s="18" t="n">
        <v>45</v>
      </c>
      <c r="E28" s="18" t="n">
        <v>50</v>
      </c>
      <c r="F28" s="18" t="n">
        <v>55</v>
      </c>
      <c r="G28" s="18" t="n">
        <v>60</v>
      </c>
      <c r="H28" s="18" t="n">
        <v>65</v>
      </c>
      <c r="J28" s="18" t="n">
        <v>60</v>
      </c>
      <c r="K28" s="18" t="n">
        <v>75</v>
      </c>
      <c r="L28" s="18" t="n">
        <v>90</v>
      </c>
      <c r="M28" s="18" t="n">
        <v>100</v>
      </c>
      <c r="N28" s="18" t="n">
        <v>110</v>
      </c>
      <c r="P28" s="18" t="n">
        <v>70</v>
      </c>
      <c r="Q28" s="18" t="n">
        <v>85</v>
      </c>
      <c r="R28" s="18" t="n">
        <v>100</v>
      </c>
      <c r="S28" s="18" t="n">
        <v>115</v>
      </c>
      <c r="T28" s="18" t="n">
        <v>125</v>
      </c>
    </row>
    <row r="29" ht="16" customHeight="1">
      <c r="B29" s="8" t="inlineStr">
        <is>
          <t>One-off donations</t>
        </is>
      </c>
      <c r="C29" s="2" t="inlineStr">
        <is>
          <t>EUR/yr</t>
        </is>
      </c>
      <c r="D29" s="18" t="n">
        <v>1500</v>
      </c>
      <c r="E29" s="18" t="n">
        <v>2500</v>
      </c>
      <c r="F29" s="18" t="n">
        <v>4000</v>
      </c>
      <c r="G29" s="18" t="n">
        <v>5000</v>
      </c>
      <c r="H29" s="18" t="n">
        <v>7000</v>
      </c>
      <c r="J29" s="18" t="n">
        <v>3000</v>
      </c>
      <c r="K29" s="18" t="n">
        <v>5000</v>
      </c>
      <c r="L29" s="18" t="n">
        <v>8000</v>
      </c>
      <c r="M29" s="18" t="n">
        <v>12000</v>
      </c>
      <c r="N29" s="18" t="n">
        <v>18000</v>
      </c>
      <c r="P29" s="18" t="n">
        <v>6000</v>
      </c>
      <c r="Q29" s="18" t="n">
        <v>12000</v>
      </c>
      <c r="R29" s="18" t="n">
        <v>20000</v>
      </c>
      <c r="S29" s="18" t="n">
        <v>32000</v>
      </c>
      <c r="T29" s="18" t="n">
        <v>45000</v>
      </c>
    </row>
    <row r="30" ht="16" customHeight="1">
      <c r="B30" s="8" t="inlineStr">
        <is>
          <t>Working-capital bridge (capacity grant / founder loan)</t>
        </is>
      </c>
      <c r="C30" s="2" t="inlineStr">
        <is>
          <t>EUR/yr</t>
        </is>
      </c>
      <c r="D30" s="18" t="n">
        <v>0</v>
      </c>
      <c r="E30" s="18" t="n">
        <v>0</v>
      </c>
      <c r="F30" s="18" t="n">
        <v>0</v>
      </c>
      <c r="G30" s="18" t="n">
        <v>0</v>
      </c>
      <c r="H30" s="18" t="n">
        <v>0</v>
      </c>
      <c r="J30" s="18" t="n">
        <v>50000</v>
      </c>
      <c r="K30" s="18" t="n">
        <v>80000</v>
      </c>
      <c r="L30" s="18" t="n">
        <v>10000</v>
      </c>
      <c r="M30" s="18" t="n">
        <v>30000</v>
      </c>
      <c r="N30" s="18" t="n">
        <v>0</v>
      </c>
      <c r="P30" s="18" t="n">
        <v>45000</v>
      </c>
      <c r="Q30" s="18" t="n">
        <v>70000</v>
      </c>
      <c r="R30" s="18" t="n">
        <v>0</v>
      </c>
      <c r="S30" s="18" t="n">
        <v>0</v>
      </c>
      <c r="T30" s="18" t="n">
        <v>0</v>
      </c>
    </row>
    <row r="31" ht="16" customHeight="1">
      <c r="B31" s="8" t="inlineStr">
        <is>
          <t>Community HQ locations</t>
        </is>
      </c>
      <c r="C31" s="2" t="inlineStr">
        <is>
          <t>count</t>
        </is>
      </c>
      <c r="D31" s="15" t="n">
        <v>0</v>
      </c>
      <c r="E31" s="15" t="n">
        <v>1</v>
      </c>
      <c r="F31" s="15" t="n">
        <v>1</v>
      </c>
      <c r="G31" s="15" t="n">
        <v>1</v>
      </c>
      <c r="H31" s="15" t="n">
        <v>2</v>
      </c>
      <c r="J31" s="15" t="n">
        <v>1</v>
      </c>
      <c r="K31" s="15" t="n">
        <v>1</v>
      </c>
      <c r="L31" s="15" t="n">
        <v>2</v>
      </c>
      <c r="M31" s="15" t="n">
        <v>3</v>
      </c>
      <c r="N31" s="15" t="n">
        <v>5</v>
      </c>
      <c r="P31" s="15" t="n">
        <v>1</v>
      </c>
      <c r="Q31" s="15" t="n">
        <v>2</v>
      </c>
      <c r="R31" s="15" t="n">
        <v>3</v>
      </c>
      <c r="S31" s="15" t="n">
        <v>5</v>
      </c>
      <c r="T31" s="15" t="n">
        <v>8</v>
      </c>
    </row>
    <row r="32" ht="16" customHeight="1">
      <c r="B32" s="8" t="inlineStr">
        <is>
          <t>HQ cost (rent+utils+insurance)</t>
        </is>
      </c>
      <c r="C32" s="2" t="inlineStr">
        <is>
          <t>EUR/mo</t>
        </is>
      </c>
      <c r="D32" s="18" t="n">
        <v>0</v>
      </c>
      <c r="E32" s="18" t="n">
        <v>700</v>
      </c>
      <c r="F32" s="18" t="n">
        <v>750</v>
      </c>
      <c r="G32" s="18" t="n">
        <v>800</v>
      </c>
      <c r="H32" s="18" t="n">
        <v>850</v>
      </c>
      <c r="J32" s="18" t="n">
        <v>1000</v>
      </c>
      <c r="K32" s="18" t="n">
        <v>1050</v>
      </c>
      <c r="L32" s="18" t="n">
        <v>1100</v>
      </c>
      <c r="M32" s="18" t="n">
        <v>1200</v>
      </c>
      <c r="N32" s="18" t="n">
        <v>1300</v>
      </c>
      <c r="P32" s="18" t="n">
        <v>1400</v>
      </c>
      <c r="Q32" s="18" t="n">
        <v>1500</v>
      </c>
      <c r="R32" s="18" t="n">
        <v>1600</v>
      </c>
      <c r="S32" s="18" t="n">
        <v>1700</v>
      </c>
      <c r="T32" s="18" t="n">
        <v>1800</v>
      </c>
    </row>
    <row r="33" ht="16" customHeight="1">
      <c r="B33" s="8" t="inlineStr">
        <is>
          <t>HQ fit-out / expansion (capex)</t>
        </is>
      </c>
      <c r="C33" s="2" t="inlineStr">
        <is>
          <t>EUR/yr</t>
        </is>
      </c>
      <c r="D33" s="18" t="n">
        <v>0</v>
      </c>
      <c r="E33" s="18" t="n">
        <v>6000</v>
      </c>
      <c r="F33" s="18" t="n">
        <v>0</v>
      </c>
      <c r="G33" s="18" t="n">
        <v>0</v>
      </c>
      <c r="H33" s="18" t="n">
        <v>6000</v>
      </c>
      <c r="J33" s="18" t="n">
        <v>8000</v>
      </c>
      <c r="K33" s="18" t="n">
        <v>1000</v>
      </c>
      <c r="L33" s="18" t="n">
        <v>0</v>
      </c>
      <c r="M33" s="18" t="n">
        <v>10000</v>
      </c>
      <c r="N33" s="18" t="n">
        <v>0</v>
      </c>
      <c r="P33" s="18" t="n">
        <v>10000</v>
      </c>
      <c r="Q33" s="18" t="n">
        <v>2000</v>
      </c>
      <c r="R33" s="18" t="n">
        <v>12000</v>
      </c>
      <c r="S33" s="18" t="n">
        <v>12000</v>
      </c>
      <c r="T33" s="18" t="n">
        <v>2000</v>
      </c>
    </row>
    <row r="34" ht="16" customHeight="1">
      <c r="B34" s="8" t="inlineStr">
        <is>
          <t>Infrastructure &amp; hosting</t>
        </is>
      </c>
      <c r="C34" s="2" t="inlineStr">
        <is>
          <t>EUR/mo</t>
        </is>
      </c>
      <c r="D34" s="18" t="n">
        <v>300</v>
      </c>
      <c r="E34" s="18" t="n">
        <v>400</v>
      </c>
      <c r="F34" s="18" t="n">
        <v>600</v>
      </c>
      <c r="G34" s="18" t="n">
        <v>800</v>
      </c>
      <c r="H34" s="18" t="n">
        <v>1000</v>
      </c>
      <c r="J34" s="18" t="n">
        <v>650</v>
      </c>
      <c r="K34" s="18" t="n">
        <v>1000</v>
      </c>
      <c r="L34" s="18" t="n">
        <v>1500</v>
      </c>
      <c r="M34" s="18" t="n">
        <v>2000</v>
      </c>
      <c r="N34" s="18" t="n">
        <v>2500</v>
      </c>
      <c r="P34" s="18" t="n">
        <v>1200</v>
      </c>
      <c r="Q34" s="18" t="n">
        <v>2500</v>
      </c>
      <c r="R34" s="18" t="n">
        <v>4500</v>
      </c>
      <c r="S34" s="18" t="n">
        <v>7000</v>
      </c>
      <c r="T34" s="18" t="n">
        <v>10000</v>
      </c>
    </row>
    <row r="35" ht="16" customHeight="1">
      <c r="B35" s="8" t="inlineStr">
        <is>
          <t>Legal / admin / accounting</t>
        </is>
      </c>
      <c r="C35" s="2" t="inlineStr">
        <is>
          <t>EUR/yr</t>
        </is>
      </c>
      <c r="D35" s="18" t="n">
        <v>2000</v>
      </c>
      <c r="E35" s="18" t="n">
        <v>2500</v>
      </c>
      <c r="F35" s="18" t="n">
        <v>3000</v>
      </c>
      <c r="G35" s="18" t="n">
        <v>4000</v>
      </c>
      <c r="H35" s="18" t="n">
        <v>5000</v>
      </c>
      <c r="J35" s="18" t="n">
        <v>3000</v>
      </c>
      <c r="K35" s="18" t="n">
        <v>4000</v>
      </c>
      <c r="L35" s="18" t="n">
        <v>6000</v>
      </c>
      <c r="M35" s="18" t="n">
        <v>8000</v>
      </c>
      <c r="N35" s="18" t="n">
        <v>10000</v>
      </c>
      <c r="P35" s="18" t="n">
        <v>5000</v>
      </c>
      <c r="Q35" s="18" t="n">
        <v>8000</v>
      </c>
      <c r="R35" s="18" t="n">
        <v>12000</v>
      </c>
      <c r="S35" s="18" t="n">
        <v>18000</v>
      </c>
      <c r="T35" s="18" t="n">
        <v>25000</v>
      </c>
    </row>
    <row r="36" ht="16" customHeight="1">
      <c r="B36" s="8" t="inlineStr">
        <is>
          <t>Marketing &amp; community</t>
        </is>
      </c>
      <c r="C36" s="2" t="inlineStr">
        <is>
          <t>EUR/yr</t>
        </is>
      </c>
      <c r="D36" s="18" t="n">
        <v>1000</v>
      </c>
      <c r="E36" s="18" t="n">
        <v>2000</v>
      </c>
      <c r="F36" s="18" t="n">
        <v>3000</v>
      </c>
      <c r="G36" s="18" t="n">
        <v>5000</v>
      </c>
      <c r="H36" s="18" t="n">
        <v>7000</v>
      </c>
      <c r="J36" s="18" t="n">
        <v>3000</v>
      </c>
      <c r="K36" s="18" t="n">
        <v>6000</v>
      </c>
      <c r="L36" s="18" t="n">
        <v>10000</v>
      </c>
      <c r="M36" s="18" t="n">
        <v>15000</v>
      </c>
      <c r="N36" s="18" t="n">
        <v>20000</v>
      </c>
      <c r="P36" s="18" t="n">
        <v>8000</v>
      </c>
      <c r="Q36" s="18" t="n">
        <v>18000</v>
      </c>
      <c r="R36" s="18" t="n">
        <v>35000</v>
      </c>
      <c r="S36" s="18" t="n">
        <v>60000</v>
      </c>
      <c r="T36" s="18" t="n">
        <v>90000</v>
      </c>
    </row>
    <row r="37" ht="16" customHeight="1">
      <c r="B37" s="8" t="inlineStr">
        <is>
          <t>Payment processing rate</t>
        </is>
      </c>
      <c r="C37" s="2" t="inlineStr">
        <is>
          <t>%</t>
        </is>
      </c>
      <c r="D37" s="17" t="n">
        <v>0.035</v>
      </c>
      <c r="E37" s="17" t="n">
        <v>0.035</v>
      </c>
      <c r="F37" s="17" t="n">
        <v>0.035</v>
      </c>
      <c r="G37" s="17" t="n">
        <v>0.035</v>
      </c>
      <c r="H37" s="17" t="n">
        <v>0.035</v>
      </c>
      <c r="J37" s="17" t="n">
        <v>0.035</v>
      </c>
      <c r="K37" s="17" t="n">
        <v>0.035</v>
      </c>
      <c r="L37" s="17" t="n">
        <v>0.035</v>
      </c>
      <c r="M37" s="17" t="n">
        <v>0.032</v>
      </c>
      <c r="N37" s="17" t="n">
        <v>0.03</v>
      </c>
      <c r="P37" s="17" t="n">
        <v>0.035</v>
      </c>
      <c r="Q37" s="17" t="n">
        <v>0.032</v>
      </c>
      <c r="R37" s="17" t="n">
        <v>0.03</v>
      </c>
      <c r="S37" s="17" t="n">
        <v>0.028</v>
      </c>
      <c r="T37" s="17" t="n">
        <v>0.025</v>
      </c>
    </row>
  </sheetData>
  <mergeCells count="3">
    <mergeCell ref="D2:H2"/>
    <mergeCell ref="P2:T2"/>
    <mergeCell ref="J2:N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Model — Conservative (lean volunteer, DACH-only)</t>
        </is>
      </c>
    </row>
    <row r="2">
      <c r="A2" s="2" t="inlineStr">
        <is>
          <t>Personnel from 'Headcount'; all else from 'Assumptions'.</t>
        </is>
      </c>
    </row>
    <row r="4">
      <c r="A4" s="6" t="inlineStr">
        <is>
          <t>EUR / year</t>
        </is>
      </c>
      <c r="B4" s="7" t="inlineStr">
        <is>
          <t>Year 1</t>
        </is>
      </c>
      <c r="C4" s="7" t="inlineStr">
        <is>
          <t>Year 2</t>
        </is>
      </c>
      <c r="D4" s="7" t="inlineStr">
        <is>
          <t>Year 3</t>
        </is>
      </c>
      <c r="E4" s="7" t="inlineStr">
        <is>
          <t>Year 4</t>
        </is>
      </c>
      <c r="F4" s="7" t="inlineStr">
        <is>
          <t>Year 5</t>
        </is>
      </c>
    </row>
    <row r="5">
      <c r="A5" s="6" t="inlineStr">
        <is>
          <t>REVENUE</t>
        </is>
      </c>
    </row>
    <row r="6">
      <c r="A6" s="8" t="inlineStr">
        <is>
          <t>Commission on paid seats</t>
        </is>
      </c>
      <c r="B6" s="19">
        <f>'Assumptions'!D5*'Assumptions'!D6*'Assumptions'!D7</f>
        <v/>
      </c>
      <c r="C6" s="19">
        <f>'Assumptions'!E5*'Assumptions'!E6*'Assumptions'!E7</f>
        <v/>
      </c>
      <c r="D6" s="19">
        <f>'Assumptions'!F5*'Assumptions'!F6*'Assumptions'!F7</f>
        <v/>
      </c>
      <c r="E6" s="19">
        <f>'Assumptions'!G5*'Assumptions'!G6*'Assumptions'!G7</f>
        <v/>
      </c>
      <c r="F6" s="19">
        <f>'Assumptions'!H5*'Assumptions'!H6*'Assumptions'!H7</f>
        <v/>
      </c>
    </row>
    <row r="7">
      <c r="A7" s="8" t="inlineStr">
        <is>
          <t>GM membership subscriptions</t>
        </is>
      </c>
      <c r="B7" s="19">
        <f>'Assumptions'!D8*'Assumptions'!D9*12</f>
        <v/>
      </c>
      <c r="C7" s="19">
        <f>'Assumptions'!E8*'Assumptions'!E9*12</f>
        <v/>
      </c>
      <c r="D7" s="19">
        <f>'Assumptions'!F8*'Assumptions'!F9*12</f>
        <v/>
      </c>
      <c r="E7" s="19">
        <f>'Assumptions'!G8*'Assumptions'!G9*12</f>
        <v/>
      </c>
      <c r="F7" s="19">
        <f>'Assumptions'!H8*'Assumptions'!H9*12</f>
        <v/>
      </c>
    </row>
    <row r="8">
      <c r="A8" s="8" t="inlineStr">
        <is>
          <t>Branded events (gross)</t>
        </is>
      </c>
      <c r="B8" s="19">
        <f>'Assumptions'!D10*'Assumptions'!D11*'Assumptions'!D12</f>
        <v/>
      </c>
      <c r="C8" s="19">
        <f>'Assumptions'!E10*'Assumptions'!E11*'Assumptions'!E12</f>
        <v/>
      </c>
      <c r="D8" s="19">
        <f>'Assumptions'!F10*'Assumptions'!F11*'Assumptions'!F12</f>
        <v/>
      </c>
      <c r="E8" s="19">
        <f>'Assumptions'!G10*'Assumptions'!G11*'Assumptions'!G12</f>
        <v/>
      </c>
      <c r="F8" s="19">
        <f>'Assumptions'!H10*'Assumptions'!H11*'Assumptions'!H12</f>
        <v/>
      </c>
    </row>
    <row r="9">
      <c r="A9" s="8" t="inlineStr">
        <is>
          <t>Library of things (borrowing tier)</t>
        </is>
      </c>
      <c r="B9" s="19">
        <f>'Assumptions'!D14*'Assumptions'!D15*12</f>
        <v/>
      </c>
      <c r="C9" s="19">
        <f>'Assumptions'!E14*'Assumptions'!E15*12</f>
        <v/>
      </c>
      <c r="D9" s="19">
        <f>'Assumptions'!F14*'Assumptions'!F15*12</f>
        <v/>
      </c>
      <c r="E9" s="19">
        <f>'Assumptions'!G14*'Assumptions'!G15*12</f>
        <v/>
      </c>
      <c r="F9" s="19">
        <f>'Assumptions'!H14*'Assumptions'!H15*12</f>
        <v/>
      </c>
    </row>
    <row r="10">
      <c r="A10" s="8" t="inlineStr">
        <is>
          <t>Certification program fees</t>
        </is>
      </c>
      <c r="B10" s="19">
        <f>'Assumptions'!D18*'Assumptions'!D19</f>
        <v/>
      </c>
      <c r="C10" s="19">
        <f>'Assumptions'!E18*'Assumptions'!E19</f>
        <v/>
      </c>
      <c r="D10" s="19">
        <f>'Assumptions'!F18*'Assumptions'!F19</f>
        <v/>
      </c>
      <c r="E10" s="19">
        <f>'Assumptions'!G18*'Assumptions'!G19</f>
        <v/>
      </c>
      <c r="F10" s="19">
        <f>'Assumptions'!H18*'Assumptions'!H19</f>
        <v/>
      </c>
    </row>
    <row r="11">
      <c r="A11" s="8" t="inlineStr">
        <is>
          <t>B2B events (commission)</t>
        </is>
      </c>
      <c r="B11" s="19">
        <f>'Assumptions'!D22*'Assumptions'!D23*'Assumptions'!D24*'Assumptions'!D25</f>
        <v/>
      </c>
      <c r="C11" s="19">
        <f>'Assumptions'!E22*'Assumptions'!E23*'Assumptions'!E24*'Assumptions'!E25</f>
        <v/>
      </c>
      <c r="D11" s="19">
        <f>'Assumptions'!F22*'Assumptions'!F23*'Assumptions'!F24*'Assumptions'!F25</f>
        <v/>
      </c>
      <c r="E11" s="19">
        <f>'Assumptions'!G22*'Assumptions'!G23*'Assumptions'!G24*'Assumptions'!G25</f>
        <v/>
      </c>
      <c r="F11" s="19">
        <f>'Assumptions'!H22*'Assumptions'!H23*'Assumptions'!H24*'Assumptions'!H25</f>
        <v/>
      </c>
    </row>
    <row r="12">
      <c r="A12" s="8" t="inlineStr">
        <is>
          <t>Grants</t>
        </is>
      </c>
      <c r="B12" s="19">
        <f>'Assumptions'!D26</f>
        <v/>
      </c>
      <c r="C12" s="19">
        <f>'Assumptions'!E26</f>
        <v/>
      </c>
      <c r="D12" s="19">
        <f>'Assumptions'!F26</f>
        <v/>
      </c>
      <c r="E12" s="19">
        <f>'Assumptions'!G26</f>
        <v/>
      </c>
      <c r="F12" s="19">
        <f>'Assumptions'!H26</f>
        <v/>
      </c>
    </row>
    <row r="13">
      <c r="A13" s="8" t="inlineStr">
        <is>
          <t>Donations (recurring + one-off)</t>
        </is>
      </c>
      <c r="B13" s="19">
        <f>'Assumptions'!D27*'Assumptions'!D28+'Assumptions'!D29</f>
        <v/>
      </c>
      <c r="C13" s="19">
        <f>'Assumptions'!E27*'Assumptions'!E28+'Assumptions'!E29</f>
        <v/>
      </c>
      <c r="D13" s="19">
        <f>'Assumptions'!F27*'Assumptions'!F28+'Assumptions'!F29</f>
        <v/>
      </c>
      <c r="E13" s="19">
        <f>'Assumptions'!G27*'Assumptions'!G28+'Assumptions'!G29</f>
        <v/>
      </c>
      <c r="F13" s="19">
        <f>'Assumptions'!H27*'Assumptions'!H28+'Assumptions'!H29</f>
        <v/>
      </c>
    </row>
    <row r="14">
      <c r="A14" s="8" t="inlineStr">
        <is>
          <t>Working-capital bridge (capacity grant / founder loan)</t>
        </is>
      </c>
      <c r="B14" s="19">
        <f>'Assumptions'!D30</f>
        <v/>
      </c>
      <c r="C14" s="19">
        <f>'Assumptions'!E30</f>
        <v/>
      </c>
      <c r="D14" s="19">
        <f>'Assumptions'!F30</f>
        <v/>
      </c>
      <c r="E14" s="19">
        <f>'Assumptions'!G30</f>
        <v/>
      </c>
      <c r="F14" s="19">
        <f>'Assumptions'!H30</f>
        <v/>
      </c>
    </row>
    <row r="15">
      <c r="A15" s="11" t="inlineStr">
        <is>
          <t>Total revenue</t>
        </is>
      </c>
      <c r="B15" s="20">
        <f>SUM(B6:B14)</f>
        <v/>
      </c>
      <c r="C15" s="20">
        <f>SUM(C6:C14)</f>
        <v/>
      </c>
      <c r="D15" s="20">
        <f>SUM(D6:D14)</f>
        <v/>
      </c>
      <c r="E15" s="20">
        <f>SUM(E6:E14)</f>
        <v/>
      </c>
      <c r="F15" s="20">
        <f>SUM(F6:F14)</f>
        <v/>
      </c>
    </row>
    <row r="17">
      <c r="A17" s="6" t="inlineStr">
        <is>
          <t>DIRECT COSTS</t>
        </is>
      </c>
    </row>
    <row r="18">
      <c r="A18" s="8" t="inlineStr">
        <is>
          <t>Payment processing fees</t>
        </is>
      </c>
      <c r="B18" s="19">
        <f>'Assumptions'!D37*(B6+B7+B8+B9+B10+B11)</f>
        <v/>
      </c>
      <c r="C18" s="19">
        <f>'Assumptions'!E37*(C6+C7+C8+C9+C10+C11)</f>
        <v/>
      </c>
      <c r="D18" s="19">
        <f>'Assumptions'!F37*(D6+D7+D8+D9+D10+D11)</f>
        <v/>
      </c>
      <c r="E18" s="19">
        <f>'Assumptions'!G37*(E6+E7+E8+E9+E10+E11)</f>
        <v/>
      </c>
      <c r="F18" s="19">
        <f>'Assumptions'!H37*(F6+F7+F8+F9+F10+F11)</f>
        <v/>
      </c>
    </row>
    <row r="19">
      <c r="A19" s="8" t="inlineStr">
        <is>
          <t>Event COGS (venue / catering / swag)</t>
        </is>
      </c>
      <c r="B19" s="19">
        <f>'Assumptions'!D10*'Assumptions'!D11*'Assumptions'!D13</f>
        <v/>
      </c>
      <c r="C19" s="19">
        <f>'Assumptions'!E10*'Assumptions'!E11*'Assumptions'!E13</f>
        <v/>
      </c>
      <c r="D19" s="19">
        <f>'Assumptions'!F10*'Assumptions'!F11*'Assumptions'!F13</f>
        <v/>
      </c>
      <c r="E19" s="19">
        <f>'Assumptions'!G10*'Assumptions'!G11*'Assumptions'!G13</f>
        <v/>
      </c>
      <c r="F19" s="19">
        <f>'Assumptions'!H10*'Assumptions'!H11*'Assumptions'!H13</f>
        <v/>
      </c>
    </row>
    <row r="20">
      <c r="A20" s="8" t="inlineStr">
        <is>
          <t>Library shrinkage &amp; replenishment</t>
        </is>
      </c>
      <c r="B20" s="19">
        <f>'Assumptions'!D16</f>
        <v/>
      </c>
      <c r="C20" s="19">
        <f>'Assumptions'!E16</f>
        <v/>
      </c>
      <c r="D20" s="19">
        <f>'Assumptions'!F16</f>
        <v/>
      </c>
      <c r="E20" s="19">
        <f>'Assumptions'!G16</f>
        <v/>
      </c>
      <c r="F20" s="19">
        <f>'Assumptions'!H16</f>
        <v/>
      </c>
    </row>
    <row r="21">
      <c r="A21" s="8" t="inlineStr">
        <is>
          <t>Certification ops (assessment + curriculum)</t>
        </is>
      </c>
      <c r="B21" s="19">
        <f>'Assumptions'!D20+'Assumptions'!D18*'Assumptions'!D21</f>
        <v/>
      </c>
      <c r="C21" s="19">
        <f>'Assumptions'!E20+'Assumptions'!E18*'Assumptions'!E21</f>
        <v/>
      </c>
      <c r="D21" s="19">
        <f>'Assumptions'!F20+'Assumptions'!F18*'Assumptions'!F21</f>
        <v/>
      </c>
      <c r="E21" s="19">
        <f>'Assumptions'!G20+'Assumptions'!G18*'Assumptions'!G21</f>
        <v/>
      </c>
      <c r="F21" s="19">
        <f>'Assumptions'!H20+'Assumptions'!H18*'Assumptions'!H21</f>
        <v/>
      </c>
    </row>
    <row r="22">
      <c r="A22" s="11" t="inlineStr">
        <is>
          <t>Total direct costs</t>
        </is>
      </c>
      <c r="B22" s="20">
        <f>SUM(B18:B21)</f>
        <v/>
      </c>
      <c r="C22" s="20">
        <f>SUM(C18:C21)</f>
        <v/>
      </c>
      <c r="D22" s="20">
        <f>SUM(D18:D21)</f>
        <v/>
      </c>
      <c r="E22" s="20">
        <f>SUM(E18:E21)</f>
        <v/>
      </c>
      <c r="F22" s="20">
        <f>SUM(F18:F21)</f>
        <v/>
      </c>
    </row>
    <row r="23">
      <c r="A23" s="11" t="inlineStr">
        <is>
          <t>Gross contribution</t>
        </is>
      </c>
      <c r="B23" s="20">
        <f>B15-B22</f>
        <v/>
      </c>
      <c r="C23" s="20">
        <f>C15-C22</f>
        <v/>
      </c>
      <c r="D23" s="20">
        <f>D15-D22</f>
        <v/>
      </c>
      <c r="E23" s="20">
        <f>E15-E22</f>
        <v/>
      </c>
      <c r="F23" s="20">
        <f>F15-F22</f>
        <v/>
      </c>
    </row>
    <row r="25">
      <c r="A25" s="6" t="inlineStr">
        <is>
          <t>OPERATING COSTS</t>
        </is>
      </c>
    </row>
    <row r="26">
      <c r="A26" s="8" t="inlineStr">
        <is>
          <t>Infrastructure &amp; hosting</t>
        </is>
      </c>
      <c r="B26" s="19">
        <f>'Assumptions'!D34*12</f>
        <v/>
      </c>
      <c r="C26" s="19">
        <f>'Assumptions'!E34*12</f>
        <v/>
      </c>
      <c r="D26" s="19">
        <f>'Assumptions'!F34*12</f>
        <v/>
      </c>
      <c r="E26" s="19">
        <f>'Assumptions'!G34*12</f>
        <v/>
      </c>
      <c r="F26" s="19">
        <f>'Assumptions'!H34*12</f>
        <v/>
      </c>
    </row>
    <row r="27">
      <c r="A27" s="8" t="inlineStr">
        <is>
          <t>Community HQ (rent + utils + fit-out)</t>
        </is>
      </c>
      <c r="B27" s="19">
        <f>'Assumptions'!D31*'Assumptions'!D32*12+'Assumptions'!D33</f>
        <v/>
      </c>
      <c r="C27" s="19">
        <f>'Assumptions'!E31*'Assumptions'!E32*12+'Assumptions'!E33</f>
        <v/>
      </c>
      <c r="D27" s="19">
        <f>'Assumptions'!F31*'Assumptions'!F32*12+'Assumptions'!F33</f>
        <v/>
      </c>
      <c r="E27" s="19">
        <f>'Assumptions'!G31*'Assumptions'!G32*12+'Assumptions'!G33</f>
        <v/>
      </c>
      <c r="F27" s="19">
        <f>'Assumptions'!H31*'Assumptions'!H32*12+'Assumptions'!H33</f>
        <v/>
      </c>
    </row>
    <row r="28">
      <c r="A28" s="8" t="inlineStr">
        <is>
          <t>Library inventory (partnership-sourced)</t>
        </is>
      </c>
      <c r="B28" s="19">
        <f>'Assumptions'!D17</f>
        <v/>
      </c>
      <c r="C28" s="19">
        <f>'Assumptions'!E17</f>
        <v/>
      </c>
      <c r="D28" s="19">
        <f>'Assumptions'!F17</f>
        <v/>
      </c>
      <c r="E28" s="19">
        <f>'Assumptions'!G17</f>
        <v/>
      </c>
      <c r="F28" s="19">
        <f>'Assumptions'!H17</f>
        <v/>
      </c>
    </row>
    <row r="29">
      <c r="A29" s="8" t="inlineStr">
        <is>
          <t>Personnel (from Headcount sheet)</t>
        </is>
      </c>
      <c r="B29" s="19">
        <f>'Headcount'!D15</f>
        <v/>
      </c>
      <c r="C29" s="19">
        <f>'Headcount'!E15</f>
        <v/>
      </c>
      <c r="D29" s="19">
        <f>'Headcount'!F15</f>
        <v/>
      </c>
      <c r="E29" s="19">
        <f>'Headcount'!G15</f>
        <v/>
      </c>
      <c r="F29" s="19">
        <f>'Headcount'!H15</f>
        <v/>
      </c>
    </row>
    <row r="30">
      <c r="A30" s="8" t="inlineStr">
        <is>
          <t>Legal / admin / accounting (outsourced)</t>
        </is>
      </c>
      <c r="B30" s="19">
        <f>'Assumptions'!D35</f>
        <v/>
      </c>
      <c r="C30" s="19">
        <f>'Assumptions'!E35</f>
        <v/>
      </c>
      <c r="D30" s="19">
        <f>'Assumptions'!F35</f>
        <v/>
      </c>
      <c r="E30" s="19">
        <f>'Assumptions'!G35</f>
        <v/>
      </c>
      <c r="F30" s="19">
        <f>'Assumptions'!H35</f>
        <v/>
      </c>
    </row>
    <row r="31">
      <c r="A31" s="8" t="inlineStr">
        <is>
          <t>Marketing &amp; community</t>
        </is>
      </c>
      <c r="B31" s="19">
        <f>'Assumptions'!D36</f>
        <v/>
      </c>
      <c r="C31" s="19">
        <f>'Assumptions'!E36</f>
        <v/>
      </c>
      <c r="D31" s="19">
        <f>'Assumptions'!F36</f>
        <v/>
      </c>
      <c r="E31" s="19">
        <f>'Assumptions'!G36</f>
        <v/>
      </c>
      <c r="F31" s="19">
        <f>'Assumptions'!H36</f>
        <v/>
      </c>
    </row>
    <row r="32">
      <c r="A32" s="11" t="inlineStr">
        <is>
          <t>Total operating costs</t>
        </is>
      </c>
      <c r="B32" s="20">
        <f>SUM(B26:B31)</f>
        <v/>
      </c>
      <c r="C32" s="20">
        <f>SUM(C26:C31)</f>
        <v/>
      </c>
      <c r="D32" s="20">
        <f>SUM(D26:D31)</f>
        <v/>
      </c>
      <c r="E32" s="20">
        <f>SUM(E26:E31)</f>
        <v/>
      </c>
      <c r="F32" s="20">
        <f>SUM(F26:F31)</f>
        <v/>
      </c>
    </row>
    <row r="33">
      <c r="A33" s="11" t="inlineStr">
        <is>
          <t>Operating result</t>
        </is>
      </c>
      <c r="B33" s="20">
        <f>B23-B32</f>
        <v/>
      </c>
      <c r="C33" s="20">
        <f>C23-C32</f>
        <v/>
      </c>
      <c r="D33" s="20">
        <f>D23-D32</f>
        <v/>
      </c>
      <c r="E33" s="20">
        <f>E23-E32</f>
        <v/>
      </c>
      <c r="F33" s="20">
        <f>F23-F32</f>
        <v/>
      </c>
    </row>
    <row r="35">
      <c r="A35" s="8" t="inlineStr">
        <is>
          <t>Tax provision (illustrative, gemeinnützig)</t>
        </is>
      </c>
      <c r="B35" s="19">
        <f>MAX(0,(B6+B7+B8+B9+B10+B11-B18-B19-B20-B21-45000))*0.15</f>
        <v/>
      </c>
      <c r="C35" s="19">
        <f>MAX(0,(C6+C7+C8+C9+C10+C11-C18-C19-C20-C21-45000))*0.15</f>
        <v/>
      </c>
      <c r="D35" s="19">
        <f>MAX(0,(D6+D7+D8+D9+D10+D11-D18-D19-D20-D21-45000))*0.15</f>
        <v/>
      </c>
      <c r="E35" s="19">
        <f>MAX(0,(E6+E7+E8+E9+E10+E11-E18-E19-E20-E21-45000))*0.15</f>
        <v/>
      </c>
      <c r="F35" s="19">
        <f>MAX(0,(F6+F7+F8+F9+F10+F11-F18-F19-F20-F21-45000))*0.15</f>
        <v/>
      </c>
    </row>
    <row r="36">
      <c r="A36" s="11" t="inlineStr">
        <is>
          <t>Net surplus / (deficit)</t>
        </is>
      </c>
      <c r="B36" s="21">
        <f>B33-B35</f>
        <v/>
      </c>
      <c r="C36" s="21">
        <f>C33-C35</f>
        <v/>
      </c>
      <c r="D36" s="21">
        <f>D33-D35</f>
        <v/>
      </c>
      <c r="E36" s="21">
        <f>E33-E35</f>
        <v/>
      </c>
      <c r="F36" s="21">
        <f>F33-F35</f>
        <v/>
      </c>
    </row>
    <row r="37">
      <c r="A37" s="11" t="inlineStr">
        <is>
          <t>Cumulative surplus / (deficit)</t>
        </is>
      </c>
      <c r="B37" s="21">
        <f>B36</f>
        <v/>
      </c>
      <c r="C37" s="21">
        <f>B37+C36</f>
        <v/>
      </c>
      <c r="D37" s="21">
        <f>C37+D36</f>
        <v/>
      </c>
      <c r="E37" s="21">
        <f>D37+E36</f>
        <v/>
      </c>
      <c r="F37" s="21">
        <f>E37+F36</f>
        <v/>
      </c>
    </row>
    <row r="39">
      <c r="A39" s="22" t="inlineStr">
        <is>
          <t>MEMO</t>
        </is>
      </c>
    </row>
    <row r="40">
      <c r="A40" s="8" t="inlineStr">
        <is>
          <t>Mission-funding reliance (grants+donations)</t>
        </is>
      </c>
      <c r="B40" s="23">
        <f>(B12+B13)/B15</f>
        <v/>
      </c>
      <c r="C40" s="23">
        <f>(C12+C13)/C15</f>
        <v/>
      </c>
      <c r="D40" s="23">
        <f>(D12+D13)/D15</f>
        <v/>
      </c>
      <c r="E40" s="23">
        <f>(E12+E13)/E15</f>
        <v/>
      </c>
      <c r="F40" s="23">
        <f>(F12+F13)/F15</f>
        <v/>
      </c>
    </row>
    <row r="41">
      <c r="A41" s="8" t="inlineStr">
        <is>
          <t>Commercial revenue (all earned streams)</t>
        </is>
      </c>
      <c r="B41" s="19">
        <f>B6+B7+B8+B9+B10+B11</f>
        <v/>
      </c>
      <c r="C41" s="19">
        <f>C6+C7+C8+C9+C10+C11</f>
        <v/>
      </c>
      <c r="D41" s="19">
        <f>D6+D7+D8+D9+D10+D11</f>
        <v/>
      </c>
      <c r="E41" s="19">
        <f>E6+E7+E8+E9+E10+E11</f>
        <v/>
      </c>
      <c r="F41" s="19">
        <f>F6+F7+F8+F9+F10+F11</f>
        <v/>
      </c>
    </row>
    <row r="42">
      <c r="A42" s="8" t="inlineStr">
        <is>
          <t>New-initiative revenue (lib+cert+B2B)</t>
        </is>
      </c>
      <c r="B42" s="24">
        <f>B9+B10+B11</f>
        <v/>
      </c>
      <c r="C42" s="24">
        <f>C9+C10+C11</f>
        <v/>
      </c>
      <c r="D42" s="24">
        <f>D9+D10+D11</f>
        <v/>
      </c>
      <c r="E42" s="24">
        <f>E9+E10+E11</f>
        <v/>
      </c>
      <c r="F42" s="24">
        <f>F9+F10+F11</f>
        <v/>
      </c>
    </row>
    <row r="43">
      <c r="A43" s="8" t="inlineStr">
        <is>
          <t>New-initiative cost (space+inv+lib+cert ops)</t>
        </is>
      </c>
      <c r="B43" s="24">
        <f>B27+B28+B20+B21</f>
        <v/>
      </c>
      <c r="C43" s="24">
        <f>C27+C28+C20+C21</f>
        <v/>
      </c>
      <c r="D43" s="24">
        <f>D27+D28+D20+D21</f>
        <v/>
      </c>
      <c r="E43" s="24">
        <f>E27+E28+E20+E21</f>
        <v/>
      </c>
      <c r="F43" s="24">
        <f>F27+F28+F20+F21</f>
        <v/>
      </c>
    </row>
    <row r="44">
      <c r="A44" s="8" t="inlineStr">
        <is>
          <t>Total FTE (from Headcount)</t>
        </is>
      </c>
      <c r="B44" s="25">
        <f>'Headcount'!D16</f>
        <v/>
      </c>
      <c r="C44" s="25">
        <f>'Headcount'!E16</f>
        <v/>
      </c>
      <c r="D44" s="25">
        <f>'Headcount'!F16</f>
        <v/>
      </c>
      <c r="E44" s="25">
        <f>'Headcount'!G16</f>
        <v/>
      </c>
      <c r="F44" s="25">
        <f>'Headcount'!H16</f>
        <v/>
      </c>
    </row>
    <row r="45">
      <c r="A45" s="8" t="inlineStr">
        <is>
          <t>Personnel as % of revenue</t>
        </is>
      </c>
      <c r="B45" s="23">
        <f>B29/B15</f>
        <v/>
      </c>
      <c r="C45" s="23">
        <f>C29/C15</f>
        <v/>
      </c>
      <c r="D45" s="23">
        <f>D29/D15</f>
        <v/>
      </c>
      <c r="E45" s="23">
        <f>E29/E15</f>
        <v/>
      </c>
      <c r="F45" s="23">
        <f>F29/F15</f>
        <v/>
      </c>
    </row>
    <row r="46">
      <c r="A46" s="8" t="inlineStr">
        <is>
          <t>Operating result excl. bridge (underlying business)</t>
        </is>
      </c>
      <c r="B46" s="24">
        <f>B33-B14</f>
        <v/>
      </c>
      <c r="C46" s="24">
        <f>C33-C14</f>
        <v/>
      </c>
      <c r="D46" s="24">
        <f>D33-D14</f>
        <v/>
      </c>
      <c r="E46" s="24">
        <f>E33-E14</f>
        <v/>
      </c>
      <c r="F46" s="24">
        <f>F33-F14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Model — Base (steady regional platform, DACH core)</t>
        </is>
      </c>
    </row>
    <row r="2">
      <c r="A2" s="2" t="inlineStr">
        <is>
          <t>Personnel from 'Headcount'; all else from 'Assumptions'.</t>
        </is>
      </c>
    </row>
    <row r="4">
      <c r="A4" s="6" t="inlineStr">
        <is>
          <t>EUR / year</t>
        </is>
      </c>
      <c r="B4" s="7" t="inlineStr">
        <is>
          <t>Year 1</t>
        </is>
      </c>
      <c r="C4" s="7" t="inlineStr">
        <is>
          <t>Year 2</t>
        </is>
      </c>
      <c r="D4" s="7" t="inlineStr">
        <is>
          <t>Year 3</t>
        </is>
      </c>
      <c r="E4" s="7" t="inlineStr">
        <is>
          <t>Year 4</t>
        </is>
      </c>
      <c r="F4" s="7" t="inlineStr">
        <is>
          <t>Year 5</t>
        </is>
      </c>
    </row>
    <row r="5">
      <c r="A5" s="6" t="inlineStr">
        <is>
          <t>REVENUE</t>
        </is>
      </c>
    </row>
    <row r="6">
      <c r="A6" s="8" t="inlineStr">
        <is>
          <t>Commission on paid seats</t>
        </is>
      </c>
      <c r="B6" s="19">
        <f>'Assumptions'!J5*'Assumptions'!J6*'Assumptions'!J7</f>
        <v/>
      </c>
      <c r="C6" s="19">
        <f>'Assumptions'!K5*'Assumptions'!K6*'Assumptions'!K7</f>
        <v/>
      </c>
      <c r="D6" s="19">
        <f>'Assumptions'!L5*'Assumptions'!L6*'Assumptions'!L7</f>
        <v/>
      </c>
      <c r="E6" s="19">
        <f>'Assumptions'!M5*'Assumptions'!M6*'Assumptions'!M7</f>
        <v/>
      </c>
      <c r="F6" s="19">
        <f>'Assumptions'!N5*'Assumptions'!N6*'Assumptions'!N7</f>
        <v/>
      </c>
    </row>
    <row r="7">
      <c r="A7" s="8" t="inlineStr">
        <is>
          <t>GM membership subscriptions</t>
        </is>
      </c>
      <c r="B7" s="19">
        <f>'Assumptions'!J8*'Assumptions'!J9*12</f>
        <v/>
      </c>
      <c r="C7" s="19">
        <f>'Assumptions'!K8*'Assumptions'!K9*12</f>
        <v/>
      </c>
      <c r="D7" s="19">
        <f>'Assumptions'!L8*'Assumptions'!L9*12</f>
        <v/>
      </c>
      <c r="E7" s="19">
        <f>'Assumptions'!M8*'Assumptions'!M9*12</f>
        <v/>
      </c>
      <c r="F7" s="19">
        <f>'Assumptions'!N8*'Assumptions'!N9*12</f>
        <v/>
      </c>
    </row>
    <row r="8">
      <c r="A8" s="8" t="inlineStr">
        <is>
          <t>Branded events (gross)</t>
        </is>
      </c>
      <c r="B8" s="19">
        <f>'Assumptions'!J10*'Assumptions'!J11*'Assumptions'!J12</f>
        <v/>
      </c>
      <c r="C8" s="19">
        <f>'Assumptions'!K10*'Assumptions'!K11*'Assumptions'!K12</f>
        <v/>
      </c>
      <c r="D8" s="19">
        <f>'Assumptions'!L10*'Assumptions'!L11*'Assumptions'!L12</f>
        <v/>
      </c>
      <c r="E8" s="19">
        <f>'Assumptions'!M10*'Assumptions'!M11*'Assumptions'!M12</f>
        <v/>
      </c>
      <c r="F8" s="19">
        <f>'Assumptions'!N10*'Assumptions'!N11*'Assumptions'!N12</f>
        <v/>
      </c>
    </row>
    <row r="9">
      <c r="A9" s="8" t="inlineStr">
        <is>
          <t>Library of things (borrowing tier)</t>
        </is>
      </c>
      <c r="B9" s="19">
        <f>'Assumptions'!J14*'Assumptions'!J15*12</f>
        <v/>
      </c>
      <c r="C9" s="19">
        <f>'Assumptions'!K14*'Assumptions'!K15*12</f>
        <v/>
      </c>
      <c r="D9" s="19">
        <f>'Assumptions'!L14*'Assumptions'!L15*12</f>
        <v/>
      </c>
      <c r="E9" s="19">
        <f>'Assumptions'!M14*'Assumptions'!M15*12</f>
        <v/>
      </c>
      <c r="F9" s="19">
        <f>'Assumptions'!N14*'Assumptions'!N15*12</f>
        <v/>
      </c>
    </row>
    <row r="10">
      <c r="A10" s="8" t="inlineStr">
        <is>
          <t>Certification program fees</t>
        </is>
      </c>
      <c r="B10" s="19">
        <f>'Assumptions'!J18*'Assumptions'!J19</f>
        <v/>
      </c>
      <c r="C10" s="19">
        <f>'Assumptions'!K18*'Assumptions'!K19</f>
        <v/>
      </c>
      <c r="D10" s="19">
        <f>'Assumptions'!L18*'Assumptions'!L19</f>
        <v/>
      </c>
      <c r="E10" s="19">
        <f>'Assumptions'!M18*'Assumptions'!M19</f>
        <v/>
      </c>
      <c r="F10" s="19">
        <f>'Assumptions'!N18*'Assumptions'!N19</f>
        <v/>
      </c>
    </row>
    <row r="11">
      <c r="A11" s="8" t="inlineStr">
        <is>
          <t>B2B events (commission)</t>
        </is>
      </c>
      <c r="B11" s="19">
        <f>'Assumptions'!J22*'Assumptions'!J23*'Assumptions'!J24*'Assumptions'!J25</f>
        <v/>
      </c>
      <c r="C11" s="19">
        <f>'Assumptions'!K22*'Assumptions'!K23*'Assumptions'!K24*'Assumptions'!K25</f>
        <v/>
      </c>
      <c r="D11" s="19">
        <f>'Assumptions'!L22*'Assumptions'!L23*'Assumptions'!L24*'Assumptions'!L25</f>
        <v/>
      </c>
      <c r="E11" s="19">
        <f>'Assumptions'!M22*'Assumptions'!M23*'Assumptions'!M24*'Assumptions'!M25</f>
        <v/>
      </c>
      <c r="F11" s="19">
        <f>'Assumptions'!N22*'Assumptions'!N23*'Assumptions'!N24*'Assumptions'!N25</f>
        <v/>
      </c>
    </row>
    <row r="12">
      <c r="A12" s="8" t="inlineStr">
        <is>
          <t>Grants</t>
        </is>
      </c>
      <c r="B12" s="19">
        <f>'Assumptions'!J26</f>
        <v/>
      </c>
      <c r="C12" s="19">
        <f>'Assumptions'!K26</f>
        <v/>
      </c>
      <c r="D12" s="19">
        <f>'Assumptions'!L26</f>
        <v/>
      </c>
      <c r="E12" s="19">
        <f>'Assumptions'!M26</f>
        <v/>
      </c>
      <c r="F12" s="19">
        <f>'Assumptions'!N26</f>
        <v/>
      </c>
    </row>
    <row r="13">
      <c r="A13" s="8" t="inlineStr">
        <is>
          <t>Donations (recurring + one-off)</t>
        </is>
      </c>
      <c r="B13" s="19">
        <f>'Assumptions'!J27*'Assumptions'!J28+'Assumptions'!J29</f>
        <v/>
      </c>
      <c r="C13" s="19">
        <f>'Assumptions'!K27*'Assumptions'!K28+'Assumptions'!K29</f>
        <v/>
      </c>
      <c r="D13" s="19">
        <f>'Assumptions'!L27*'Assumptions'!L28+'Assumptions'!L29</f>
        <v/>
      </c>
      <c r="E13" s="19">
        <f>'Assumptions'!M27*'Assumptions'!M28+'Assumptions'!M29</f>
        <v/>
      </c>
      <c r="F13" s="19">
        <f>'Assumptions'!N27*'Assumptions'!N28+'Assumptions'!N29</f>
        <v/>
      </c>
    </row>
    <row r="14">
      <c r="A14" s="8" t="inlineStr">
        <is>
          <t>Working-capital bridge (capacity grant / founder loan)</t>
        </is>
      </c>
      <c r="B14" s="19">
        <f>'Assumptions'!J30</f>
        <v/>
      </c>
      <c r="C14" s="19">
        <f>'Assumptions'!K30</f>
        <v/>
      </c>
      <c r="D14" s="19">
        <f>'Assumptions'!L30</f>
        <v/>
      </c>
      <c r="E14" s="19">
        <f>'Assumptions'!M30</f>
        <v/>
      </c>
      <c r="F14" s="19">
        <f>'Assumptions'!N30</f>
        <v/>
      </c>
    </row>
    <row r="15">
      <c r="A15" s="11" t="inlineStr">
        <is>
          <t>Total revenue</t>
        </is>
      </c>
      <c r="B15" s="20">
        <f>SUM(B6:B14)</f>
        <v/>
      </c>
      <c r="C15" s="20">
        <f>SUM(C6:C14)</f>
        <v/>
      </c>
      <c r="D15" s="20">
        <f>SUM(D6:D14)</f>
        <v/>
      </c>
      <c r="E15" s="20">
        <f>SUM(E6:E14)</f>
        <v/>
      </c>
      <c r="F15" s="20">
        <f>SUM(F6:F14)</f>
        <v/>
      </c>
    </row>
    <row r="17">
      <c r="A17" s="6" t="inlineStr">
        <is>
          <t>DIRECT COSTS</t>
        </is>
      </c>
    </row>
    <row r="18">
      <c r="A18" s="8" t="inlineStr">
        <is>
          <t>Payment processing fees</t>
        </is>
      </c>
      <c r="B18" s="19">
        <f>'Assumptions'!J37*(B6+B7+B8+B9+B10+B11)</f>
        <v/>
      </c>
      <c r="C18" s="19">
        <f>'Assumptions'!K37*(C6+C7+C8+C9+C10+C11)</f>
        <v/>
      </c>
      <c r="D18" s="19">
        <f>'Assumptions'!L37*(D6+D7+D8+D9+D10+D11)</f>
        <v/>
      </c>
      <c r="E18" s="19">
        <f>'Assumptions'!M37*(E6+E7+E8+E9+E10+E11)</f>
        <v/>
      </c>
      <c r="F18" s="19">
        <f>'Assumptions'!N37*(F6+F7+F8+F9+F10+F11)</f>
        <v/>
      </c>
    </row>
    <row r="19">
      <c r="A19" s="8" t="inlineStr">
        <is>
          <t>Event COGS (venue / catering / swag)</t>
        </is>
      </c>
      <c r="B19" s="19">
        <f>'Assumptions'!J10*'Assumptions'!J11*'Assumptions'!J13</f>
        <v/>
      </c>
      <c r="C19" s="19">
        <f>'Assumptions'!K10*'Assumptions'!K11*'Assumptions'!K13</f>
        <v/>
      </c>
      <c r="D19" s="19">
        <f>'Assumptions'!L10*'Assumptions'!L11*'Assumptions'!L13</f>
        <v/>
      </c>
      <c r="E19" s="19">
        <f>'Assumptions'!M10*'Assumptions'!M11*'Assumptions'!M13</f>
        <v/>
      </c>
      <c r="F19" s="19">
        <f>'Assumptions'!N10*'Assumptions'!N11*'Assumptions'!N13</f>
        <v/>
      </c>
    </row>
    <row r="20">
      <c r="A20" s="8" t="inlineStr">
        <is>
          <t>Library shrinkage &amp; replenishment</t>
        </is>
      </c>
      <c r="B20" s="19">
        <f>'Assumptions'!J16</f>
        <v/>
      </c>
      <c r="C20" s="19">
        <f>'Assumptions'!K16</f>
        <v/>
      </c>
      <c r="D20" s="19">
        <f>'Assumptions'!L16</f>
        <v/>
      </c>
      <c r="E20" s="19">
        <f>'Assumptions'!M16</f>
        <v/>
      </c>
      <c r="F20" s="19">
        <f>'Assumptions'!N16</f>
        <v/>
      </c>
    </row>
    <row r="21">
      <c r="A21" s="8" t="inlineStr">
        <is>
          <t>Certification ops (assessment + curriculum)</t>
        </is>
      </c>
      <c r="B21" s="19">
        <f>'Assumptions'!J20+'Assumptions'!J18*'Assumptions'!J21</f>
        <v/>
      </c>
      <c r="C21" s="19">
        <f>'Assumptions'!K20+'Assumptions'!K18*'Assumptions'!K21</f>
        <v/>
      </c>
      <c r="D21" s="19">
        <f>'Assumptions'!L20+'Assumptions'!L18*'Assumptions'!L21</f>
        <v/>
      </c>
      <c r="E21" s="19">
        <f>'Assumptions'!M20+'Assumptions'!M18*'Assumptions'!M21</f>
        <v/>
      </c>
      <c r="F21" s="19">
        <f>'Assumptions'!N20+'Assumptions'!N18*'Assumptions'!N21</f>
        <v/>
      </c>
    </row>
    <row r="22">
      <c r="A22" s="11" t="inlineStr">
        <is>
          <t>Total direct costs</t>
        </is>
      </c>
      <c r="B22" s="20">
        <f>SUM(B18:B21)</f>
        <v/>
      </c>
      <c r="C22" s="20">
        <f>SUM(C18:C21)</f>
        <v/>
      </c>
      <c r="D22" s="20">
        <f>SUM(D18:D21)</f>
        <v/>
      </c>
      <c r="E22" s="20">
        <f>SUM(E18:E21)</f>
        <v/>
      </c>
      <c r="F22" s="20">
        <f>SUM(F18:F21)</f>
        <v/>
      </c>
    </row>
    <row r="23">
      <c r="A23" s="11" t="inlineStr">
        <is>
          <t>Gross contribution</t>
        </is>
      </c>
      <c r="B23" s="20">
        <f>B15-B22</f>
        <v/>
      </c>
      <c r="C23" s="20">
        <f>C15-C22</f>
        <v/>
      </c>
      <c r="D23" s="20">
        <f>D15-D22</f>
        <v/>
      </c>
      <c r="E23" s="20">
        <f>E15-E22</f>
        <v/>
      </c>
      <c r="F23" s="20">
        <f>F15-F22</f>
        <v/>
      </c>
    </row>
    <row r="25">
      <c r="A25" s="6" t="inlineStr">
        <is>
          <t>OPERATING COSTS</t>
        </is>
      </c>
    </row>
    <row r="26">
      <c r="A26" s="8" t="inlineStr">
        <is>
          <t>Infrastructure &amp; hosting</t>
        </is>
      </c>
      <c r="B26" s="19">
        <f>'Assumptions'!J34*12</f>
        <v/>
      </c>
      <c r="C26" s="19">
        <f>'Assumptions'!K34*12</f>
        <v/>
      </c>
      <c r="D26" s="19">
        <f>'Assumptions'!L34*12</f>
        <v/>
      </c>
      <c r="E26" s="19">
        <f>'Assumptions'!M34*12</f>
        <v/>
      </c>
      <c r="F26" s="19">
        <f>'Assumptions'!N34*12</f>
        <v/>
      </c>
    </row>
    <row r="27">
      <c r="A27" s="8" t="inlineStr">
        <is>
          <t>Community HQ (rent + utils + fit-out)</t>
        </is>
      </c>
      <c r="B27" s="19">
        <f>'Assumptions'!J31*'Assumptions'!J32*12+'Assumptions'!J33</f>
        <v/>
      </c>
      <c r="C27" s="19">
        <f>'Assumptions'!K31*'Assumptions'!K32*12+'Assumptions'!K33</f>
        <v/>
      </c>
      <c r="D27" s="19">
        <f>'Assumptions'!L31*'Assumptions'!L32*12+'Assumptions'!L33</f>
        <v/>
      </c>
      <c r="E27" s="19">
        <f>'Assumptions'!M31*'Assumptions'!M32*12+'Assumptions'!M33</f>
        <v/>
      </c>
      <c r="F27" s="19">
        <f>'Assumptions'!N31*'Assumptions'!N32*12+'Assumptions'!N33</f>
        <v/>
      </c>
    </row>
    <row r="28">
      <c r="A28" s="8" t="inlineStr">
        <is>
          <t>Library inventory (partnership-sourced)</t>
        </is>
      </c>
      <c r="B28" s="19">
        <f>'Assumptions'!J17</f>
        <v/>
      </c>
      <c r="C28" s="19">
        <f>'Assumptions'!K17</f>
        <v/>
      </c>
      <c r="D28" s="19">
        <f>'Assumptions'!L17</f>
        <v/>
      </c>
      <c r="E28" s="19">
        <f>'Assumptions'!M17</f>
        <v/>
      </c>
      <c r="F28" s="19">
        <f>'Assumptions'!N17</f>
        <v/>
      </c>
    </row>
    <row r="29">
      <c r="A29" s="8" t="inlineStr">
        <is>
          <t>Personnel (from Headcount sheet)</t>
        </is>
      </c>
      <c r="B29" s="19">
        <f>'Headcount'!J15</f>
        <v/>
      </c>
      <c r="C29" s="19">
        <f>'Headcount'!K15</f>
        <v/>
      </c>
      <c r="D29" s="19">
        <f>'Headcount'!L15</f>
        <v/>
      </c>
      <c r="E29" s="19">
        <f>'Headcount'!M15</f>
        <v/>
      </c>
      <c r="F29" s="19">
        <f>'Headcount'!N15</f>
        <v/>
      </c>
    </row>
    <row r="30">
      <c r="A30" s="8" t="inlineStr">
        <is>
          <t>Legal / admin / accounting (outsourced)</t>
        </is>
      </c>
      <c r="B30" s="19">
        <f>'Assumptions'!J35</f>
        <v/>
      </c>
      <c r="C30" s="19">
        <f>'Assumptions'!K35</f>
        <v/>
      </c>
      <c r="D30" s="19">
        <f>'Assumptions'!L35</f>
        <v/>
      </c>
      <c r="E30" s="19">
        <f>'Assumptions'!M35</f>
        <v/>
      </c>
      <c r="F30" s="19">
        <f>'Assumptions'!N35</f>
        <v/>
      </c>
    </row>
    <row r="31">
      <c r="A31" s="8" t="inlineStr">
        <is>
          <t>Marketing &amp; community</t>
        </is>
      </c>
      <c r="B31" s="19">
        <f>'Assumptions'!J36</f>
        <v/>
      </c>
      <c r="C31" s="19">
        <f>'Assumptions'!K36</f>
        <v/>
      </c>
      <c r="D31" s="19">
        <f>'Assumptions'!L36</f>
        <v/>
      </c>
      <c r="E31" s="19">
        <f>'Assumptions'!M36</f>
        <v/>
      </c>
      <c r="F31" s="19">
        <f>'Assumptions'!N36</f>
        <v/>
      </c>
    </row>
    <row r="32">
      <c r="A32" s="11" t="inlineStr">
        <is>
          <t>Total operating costs</t>
        </is>
      </c>
      <c r="B32" s="20">
        <f>SUM(B26:B31)</f>
        <v/>
      </c>
      <c r="C32" s="20">
        <f>SUM(C26:C31)</f>
        <v/>
      </c>
      <c r="D32" s="20">
        <f>SUM(D26:D31)</f>
        <v/>
      </c>
      <c r="E32" s="20">
        <f>SUM(E26:E31)</f>
        <v/>
      </c>
      <c r="F32" s="20">
        <f>SUM(F26:F31)</f>
        <v/>
      </c>
    </row>
    <row r="33">
      <c r="A33" s="11" t="inlineStr">
        <is>
          <t>Operating result</t>
        </is>
      </c>
      <c r="B33" s="20">
        <f>B23-B32</f>
        <v/>
      </c>
      <c r="C33" s="20">
        <f>C23-C32</f>
        <v/>
      </c>
      <c r="D33" s="20">
        <f>D23-D32</f>
        <v/>
      </c>
      <c r="E33" s="20">
        <f>E23-E32</f>
        <v/>
      </c>
      <c r="F33" s="20">
        <f>F23-F32</f>
        <v/>
      </c>
    </row>
    <row r="35">
      <c r="A35" s="8" t="inlineStr">
        <is>
          <t>Tax provision (illustrative, gemeinnützig)</t>
        </is>
      </c>
      <c r="B35" s="19">
        <f>MAX(0,(B6+B7+B8+B9+B10+B11-B18-B19-B20-B21-45000))*0.15</f>
        <v/>
      </c>
      <c r="C35" s="19">
        <f>MAX(0,(C6+C7+C8+C9+C10+C11-C18-C19-C20-C21-45000))*0.15</f>
        <v/>
      </c>
      <c r="D35" s="19">
        <f>MAX(0,(D6+D7+D8+D9+D10+D11-D18-D19-D20-D21-45000))*0.15</f>
        <v/>
      </c>
      <c r="E35" s="19">
        <f>MAX(0,(E6+E7+E8+E9+E10+E11-E18-E19-E20-E21-45000))*0.15</f>
        <v/>
      </c>
      <c r="F35" s="19">
        <f>MAX(0,(F6+F7+F8+F9+F10+F11-F18-F19-F20-F21-45000))*0.15</f>
        <v/>
      </c>
    </row>
    <row r="36">
      <c r="A36" s="11" t="inlineStr">
        <is>
          <t>Net surplus / (deficit)</t>
        </is>
      </c>
      <c r="B36" s="21">
        <f>B33-B35</f>
        <v/>
      </c>
      <c r="C36" s="21">
        <f>C33-C35</f>
        <v/>
      </c>
      <c r="D36" s="21">
        <f>D33-D35</f>
        <v/>
      </c>
      <c r="E36" s="21">
        <f>E33-E35</f>
        <v/>
      </c>
      <c r="F36" s="21">
        <f>F33-F35</f>
        <v/>
      </c>
    </row>
    <row r="37">
      <c r="A37" s="11" t="inlineStr">
        <is>
          <t>Cumulative surplus / (deficit)</t>
        </is>
      </c>
      <c r="B37" s="21">
        <f>B36</f>
        <v/>
      </c>
      <c r="C37" s="21">
        <f>B37+C36</f>
        <v/>
      </c>
      <c r="D37" s="21">
        <f>C37+D36</f>
        <v/>
      </c>
      <c r="E37" s="21">
        <f>D37+E36</f>
        <v/>
      </c>
      <c r="F37" s="21">
        <f>E37+F36</f>
        <v/>
      </c>
    </row>
    <row r="39">
      <c r="A39" s="22" t="inlineStr">
        <is>
          <t>MEMO</t>
        </is>
      </c>
    </row>
    <row r="40">
      <c r="A40" s="8" t="inlineStr">
        <is>
          <t>Mission-funding reliance (grants+donations)</t>
        </is>
      </c>
      <c r="B40" s="23">
        <f>(B12+B13)/B15</f>
        <v/>
      </c>
      <c r="C40" s="23">
        <f>(C12+C13)/C15</f>
        <v/>
      </c>
      <c r="D40" s="23">
        <f>(D12+D13)/D15</f>
        <v/>
      </c>
      <c r="E40" s="23">
        <f>(E12+E13)/E15</f>
        <v/>
      </c>
      <c r="F40" s="23">
        <f>(F12+F13)/F15</f>
        <v/>
      </c>
    </row>
    <row r="41">
      <c r="A41" s="8" t="inlineStr">
        <is>
          <t>Commercial revenue (all earned streams)</t>
        </is>
      </c>
      <c r="B41" s="19">
        <f>B6+B7+B8+B9+B10+B11</f>
        <v/>
      </c>
      <c r="C41" s="19">
        <f>C6+C7+C8+C9+C10+C11</f>
        <v/>
      </c>
      <c r="D41" s="19">
        <f>D6+D7+D8+D9+D10+D11</f>
        <v/>
      </c>
      <c r="E41" s="19">
        <f>E6+E7+E8+E9+E10+E11</f>
        <v/>
      </c>
      <c r="F41" s="19">
        <f>F6+F7+F8+F9+F10+F11</f>
        <v/>
      </c>
    </row>
    <row r="42">
      <c r="A42" s="8" t="inlineStr">
        <is>
          <t>New-initiative revenue (lib+cert+B2B)</t>
        </is>
      </c>
      <c r="B42" s="24">
        <f>B9+B10+B11</f>
        <v/>
      </c>
      <c r="C42" s="24">
        <f>C9+C10+C11</f>
        <v/>
      </c>
      <c r="D42" s="24">
        <f>D9+D10+D11</f>
        <v/>
      </c>
      <c r="E42" s="24">
        <f>E9+E10+E11</f>
        <v/>
      </c>
      <c r="F42" s="24">
        <f>F9+F10+F11</f>
        <v/>
      </c>
    </row>
    <row r="43">
      <c r="A43" s="8" t="inlineStr">
        <is>
          <t>New-initiative cost (space+inv+lib+cert ops)</t>
        </is>
      </c>
      <c r="B43" s="24">
        <f>B27+B28+B20+B21</f>
        <v/>
      </c>
      <c r="C43" s="24">
        <f>C27+C28+C20+C21</f>
        <v/>
      </c>
      <c r="D43" s="24">
        <f>D27+D28+D20+D21</f>
        <v/>
      </c>
      <c r="E43" s="24">
        <f>E27+E28+E20+E21</f>
        <v/>
      </c>
      <c r="F43" s="24">
        <f>F27+F28+F20+F21</f>
        <v/>
      </c>
    </row>
    <row r="44">
      <c r="A44" s="8" t="inlineStr">
        <is>
          <t>Total FTE (from Headcount)</t>
        </is>
      </c>
      <c r="B44" s="25">
        <f>'Headcount'!J16</f>
        <v/>
      </c>
      <c r="C44" s="25">
        <f>'Headcount'!K16</f>
        <v/>
      </c>
      <c r="D44" s="25">
        <f>'Headcount'!L16</f>
        <v/>
      </c>
      <c r="E44" s="25">
        <f>'Headcount'!M16</f>
        <v/>
      </c>
      <c r="F44" s="25">
        <f>'Headcount'!N16</f>
        <v/>
      </c>
    </row>
    <row r="45">
      <c r="A45" s="8" t="inlineStr">
        <is>
          <t>Personnel as % of revenue</t>
        </is>
      </c>
      <c r="B45" s="23">
        <f>B29/B15</f>
        <v/>
      </c>
      <c r="C45" s="23">
        <f>C29/C15</f>
        <v/>
      </c>
      <c r="D45" s="23">
        <f>D29/D15</f>
        <v/>
      </c>
      <c r="E45" s="23">
        <f>E29/E15</f>
        <v/>
      </c>
      <c r="F45" s="23">
        <f>F29/F15</f>
        <v/>
      </c>
    </row>
    <row r="46">
      <c r="A46" s="8" t="inlineStr">
        <is>
          <t>Operating result excl. bridge (underlying business)</t>
        </is>
      </c>
      <c r="B46" s="24">
        <f>B33-B14</f>
        <v/>
      </c>
      <c r="C46" s="24">
        <f>C33-C14</f>
        <v/>
      </c>
      <c r="D46" s="24">
        <f>D33-D14</f>
        <v/>
      </c>
      <c r="E46" s="24">
        <f>E33-E14</f>
        <v/>
      </c>
      <c r="F46" s="24">
        <f>F33-F14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Model — Ambitious (pan-European, staffed org)</t>
        </is>
      </c>
    </row>
    <row r="2">
      <c r="A2" s="2" t="inlineStr">
        <is>
          <t>Personnel from 'Headcount'; all else from 'Assumptions'.</t>
        </is>
      </c>
    </row>
    <row r="4">
      <c r="A4" s="6" t="inlineStr">
        <is>
          <t>EUR / year</t>
        </is>
      </c>
      <c r="B4" s="7" t="inlineStr">
        <is>
          <t>Year 1</t>
        </is>
      </c>
      <c r="C4" s="7" t="inlineStr">
        <is>
          <t>Year 2</t>
        </is>
      </c>
      <c r="D4" s="7" t="inlineStr">
        <is>
          <t>Year 3</t>
        </is>
      </c>
      <c r="E4" s="7" t="inlineStr">
        <is>
          <t>Year 4</t>
        </is>
      </c>
      <c r="F4" s="7" t="inlineStr">
        <is>
          <t>Year 5</t>
        </is>
      </c>
    </row>
    <row r="5">
      <c r="A5" s="6" t="inlineStr">
        <is>
          <t>REVENUE</t>
        </is>
      </c>
    </row>
    <row r="6">
      <c r="A6" s="8" t="inlineStr">
        <is>
          <t>Commission on paid seats</t>
        </is>
      </c>
      <c r="B6" s="19">
        <f>'Assumptions'!P5*'Assumptions'!P6*'Assumptions'!P7</f>
        <v/>
      </c>
      <c r="C6" s="19">
        <f>'Assumptions'!Q5*'Assumptions'!Q6*'Assumptions'!Q7</f>
        <v/>
      </c>
      <c r="D6" s="19">
        <f>'Assumptions'!R5*'Assumptions'!R6*'Assumptions'!R7</f>
        <v/>
      </c>
      <c r="E6" s="19">
        <f>'Assumptions'!S5*'Assumptions'!S6*'Assumptions'!S7</f>
        <v/>
      </c>
      <c r="F6" s="19">
        <f>'Assumptions'!T5*'Assumptions'!T6*'Assumptions'!T7</f>
        <v/>
      </c>
    </row>
    <row r="7">
      <c r="A7" s="8" t="inlineStr">
        <is>
          <t>GM membership subscriptions</t>
        </is>
      </c>
      <c r="B7" s="19">
        <f>'Assumptions'!P8*'Assumptions'!P9*12</f>
        <v/>
      </c>
      <c r="C7" s="19">
        <f>'Assumptions'!Q8*'Assumptions'!Q9*12</f>
        <v/>
      </c>
      <c r="D7" s="19">
        <f>'Assumptions'!R8*'Assumptions'!R9*12</f>
        <v/>
      </c>
      <c r="E7" s="19">
        <f>'Assumptions'!S8*'Assumptions'!S9*12</f>
        <v/>
      </c>
      <c r="F7" s="19">
        <f>'Assumptions'!T8*'Assumptions'!T9*12</f>
        <v/>
      </c>
    </row>
    <row r="8">
      <c r="A8" s="8" t="inlineStr">
        <is>
          <t>Branded events (gross)</t>
        </is>
      </c>
      <c r="B8" s="19">
        <f>'Assumptions'!P10*'Assumptions'!P11*'Assumptions'!P12</f>
        <v/>
      </c>
      <c r="C8" s="19">
        <f>'Assumptions'!Q10*'Assumptions'!Q11*'Assumptions'!Q12</f>
        <v/>
      </c>
      <c r="D8" s="19">
        <f>'Assumptions'!R10*'Assumptions'!R11*'Assumptions'!R12</f>
        <v/>
      </c>
      <c r="E8" s="19">
        <f>'Assumptions'!S10*'Assumptions'!S11*'Assumptions'!S12</f>
        <v/>
      </c>
      <c r="F8" s="19">
        <f>'Assumptions'!T10*'Assumptions'!T11*'Assumptions'!T12</f>
        <v/>
      </c>
    </row>
    <row r="9">
      <c r="A9" s="8" t="inlineStr">
        <is>
          <t>Library of things (borrowing tier)</t>
        </is>
      </c>
      <c r="B9" s="19">
        <f>'Assumptions'!P14*'Assumptions'!P15*12</f>
        <v/>
      </c>
      <c r="C9" s="19">
        <f>'Assumptions'!Q14*'Assumptions'!Q15*12</f>
        <v/>
      </c>
      <c r="D9" s="19">
        <f>'Assumptions'!R14*'Assumptions'!R15*12</f>
        <v/>
      </c>
      <c r="E9" s="19">
        <f>'Assumptions'!S14*'Assumptions'!S15*12</f>
        <v/>
      </c>
      <c r="F9" s="19">
        <f>'Assumptions'!T14*'Assumptions'!T15*12</f>
        <v/>
      </c>
    </row>
    <row r="10">
      <c r="A10" s="8" t="inlineStr">
        <is>
          <t>Certification program fees</t>
        </is>
      </c>
      <c r="B10" s="19">
        <f>'Assumptions'!P18*'Assumptions'!P19</f>
        <v/>
      </c>
      <c r="C10" s="19">
        <f>'Assumptions'!Q18*'Assumptions'!Q19</f>
        <v/>
      </c>
      <c r="D10" s="19">
        <f>'Assumptions'!R18*'Assumptions'!R19</f>
        <v/>
      </c>
      <c r="E10" s="19">
        <f>'Assumptions'!S18*'Assumptions'!S19</f>
        <v/>
      </c>
      <c r="F10" s="19">
        <f>'Assumptions'!T18*'Assumptions'!T19</f>
        <v/>
      </c>
    </row>
    <row r="11">
      <c r="A11" s="8" t="inlineStr">
        <is>
          <t>B2B events (commission)</t>
        </is>
      </c>
      <c r="B11" s="19">
        <f>'Assumptions'!P22*'Assumptions'!P23*'Assumptions'!P24*'Assumptions'!P25</f>
        <v/>
      </c>
      <c r="C11" s="19">
        <f>'Assumptions'!Q22*'Assumptions'!Q23*'Assumptions'!Q24*'Assumptions'!Q25</f>
        <v/>
      </c>
      <c r="D11" s="19">
        <f>'Assumptions'!R22*'Assumptions'!R23*'Assumptions'!R24*'Assumptions'!R25</f>
        <v/>
      </c>
      <c r="E11" s="19">
        <f>'Assumptions'!S22*'Assumptions'!S23*'Assumptions'!S24*'Assumptions'!S25</f>
        <v/>
      </c>
      <c r="F11" s="19">
        <f>'Assumptions'!T22*'Assumptions'!T23*'Assumptions'!T24*'Assumptions'!T25</f>
        <v/>
      </c>
    </row>
    <row r="12">
      <c r="A12" s="8" t="inlineStr">
        <is>
          <t>Grants</t>
        </is>
      </c>
      <c r="B12" s="19">
        <f>'Assumptions'!P26</f>
        <v/>
      </c>
      <c r="C12" s="19">
        <f>'Assumptions'!Q26</f>
        <v/>
      </c>
      <c r="D12" s="19">
        <f>'Assumptions'!R26</f>
        <v/>
      </c>
      <c r="E12" s="19">
        <f>'Assumptions'!S26</f>
        <v/>
      </c>
      <c r="F12" s="19">
        <f>'Assumptions'!T26</f>
        <v/>
      </c>
    </row>
    <row r="13">
      <c r="A13" s="8" t="inlineStr">
        <is>
          <t>Donations (recurring + one-off)</t>
        </is>
      </c>
      <c r="B13" s="19">
        <f>'Assumptions'!P27*'Assumptions'!P28+'Assumptions'!P29</f>
        <v/>
      </c>
      <c r="C13" s="19">
        <f>'Assumptions'!Q27*'Assumptions'!Q28+'Assumptions'!Q29</f>
        <v/>
      </c>
      <c r="D13" s="19">
        <f>'Assumptions'!R27*'Assumptions'!R28+'Assumptions'!R29</f>
        <v/>
      </c>
      <c r="E13" s="19">
        <f>'Assumptions'!S27*'Assumptions'!S28+'Assumptions'!S29</f>
        <v/>
      </c>
      <c r="F13" s="19">
        <f>'Assumptions'!T27*'Assumptions'!T28+'Assumptions'!T29</f>
        <v/>
      </c>
    </row>
    <row r="14">
      <c r="A14" s="8" t="inlineStr">
        <is>
          <t>Working-capital bridge (capacity grant / founder loan)</t>
        </is>
      </c>
      <c r="B14" s="19">
        <f>'Assumptions'!P30</f>
        <v/>
      </c>
      <c r="C14" s="19">
        <f>'Assumptions'!Q30</f>
        <v/>
      </c>
      <c r="D14" s="19">
        <f>'Assumptions'!R30</f>
        <v/>
      </c>
      <c r="E14" s="19">
        <f>'Assumptions'!S30</f>
        <v/>
      </c>
      <c r="F14" s="19">
        <f>'Assumptions'!T30</f>
        <v/>
      </c>
    </row>
    <row r="15">
      <c r="A15" s="11" t="inlineStr">
        <is>
          <t>Total revenue</t>
        </is>
      </c>
      <c r="B15" s="20">
        <f>SUM(B6:B14)</f>
        <v/>
      </c>
      <c r="C15" s="20">
        <f>SUM(C6:C14)</f>
        <v/>
      </c>
      <c r="D15" s="20">
        <f>SUM(D6:D14)</f>
        <v/>
      </c>
      <c r="E15" s="20">
        <f>SUM(E6:E14)</f>
        <v/>
      </c>
      <c r="F15" s="20">
        <f>SUM(F6:F14)</f>
        <v/>
      </c>
    </row>
    <row r="17">
      <c r="A17" s="6" t="inlineStr">
        <is>
          <t>DIRECT COSTS</t>
        </is>
      </c>
    </row>
    <row r="18">
      <c r="A18" s="8" t="inlineStr">
        <is>
          <t>Payment processing fees</t>
        </is>
      </c>
      <c r="B18" s="19">
        <f>'Assumptions'!P37*(B6+B7+B8+B9+B10+B11)</f>
        <v/>
      </c>
      <c r="C18" s="19">
        <f>'Assumptions'!Q37*(C6+C7+C8+C9+C10+C11)</f>
        <v/>
      </c>
      <c r="D18" s="19">
        <f>'Assumptions'!R37*(D6+D7+D8+D9+D10+D11)</f>
        <v/>
      </c>
      <c r="E18" s="19">
        <f>'Assumptions'!S37*(E6+E7+E8+E9+E10+E11)</f>
        <v/>
      </c>
      <c r="F18" s="19">
        <f>'Assumptions'!T37*(F6+F7+F8+F9+F10+F11)</f>
        <v/>
      </c>
    </row>
    <row r="19">
      <c r="A19" s="8" t="inlineStr">
        <is>
          <t>Event COGS (venue / catering / swag)</t>
        </is>
      </c>
      <c r="B19" s="19">
        <f>'Assumptions'!P10*'Assumptions'!P11*'Assumptions'!P13</f>
        <v/>
      </c>
      <c r="C19" s="19">
        <f>'Assumptions'!Q10*'Assumptions'!Q11*'Assumptions'!Q13</f>
        <v/>
      </c>
      <c r="D19" s="19">
        <f>'Assumptions'!R10*'Assumptions'!R11*'Assumptions'!R13</f>
        <v/>
      </c>
      <c r="E19" s="19">
        <f>'Assumptions'!S10*'Assumptions'!S11*'Assumptions'!S13</f>
        <v/>
      </c>
      <c r="F19" s="19">
        <f>'Assumptions'!T10*'Assumptions'!T11*'Assumptions'!T13</f>
        <v/>
      </c>
    </row>
    <row r="20">
      <c r="A20" s="8" t="inlineStr">
        <is>
          <t>Library shrinkage &amp; replenishment</t>
        </is>
      </c>
      <c r="B20" s="19">
        <f>'Assumptions'!P16</f>
        <v/>
      </c>
      <c r="C20" s="19">
        <f>'Assumptions'!Q16</f>
        <v/>
      </c>
      <c r="D20" s="19">
        <f>'Assumptions'!R16</f>
        <v/>
      </c>
      <c r="E20" s="19">
        <f>'Assumptions'!S16</f>
        <v/>
      </c>
      <c r="F20" s="19">
        <f>'Assumptions'!T16</f>
        <v/>
      </c>
    </row>
    <row r="21">
      <c r="A21" s="8" t="inlineStr">
        <is>
          <t>Certification ops (assessment + curriculum)</t>
        </is>
      </c>
      <c r="B21" s="19">
        <f>'Assumptions'!P20+'Assumptions'!P18*'Assumptions'!P21</f>
        <v/>
      </c>
      <c r="C21" s="19">
        <f>'Assumptions'!Q20+'Assumptions'!Q18*'Assumptions'!Q21</f>
        <v/>
      </c>
      <c r="D21" s="19">
        <f>'Assumptions'!R20+'Assumptions'!R18*'Assumptions'!R21</f>
        <v/>
      </c>
      <c r="E21" s="19">
        <f>'Assumptions'!S20+'Assumptions'!S18*'Assumptions'!S21</f>
        <v/>
      </c>
      <c r="F21" s="19">
        <f>'Assumptions'!T20+'Assumptions'!T18*'Assumptions'!T21</f>
        <v/>
      </c>
    </row>
    <row r="22">
      <c r="A22" s="11" t="inlineStr">
        <is>
          <t>Total direct costs</t>
        </is>
      </c>
      <c r="B22" s="20">
        <f>SUM(B18:B21)</f>
        <v/>
      </c>
      <c r="C22" s="20">
        <f>SUM(C18:C21)</f>
        <v/>
      </c>
      <c r="D22" s="20">
        <f>SUM(D18:D21)</f>
        <v/>
      </c>
      <c r="E22" s="20">
        <f>SUM(E18:E21)</f>
        <v/>
      </c>
      <c r="F22" s="20">
        <f>SUM(F18:F21)</f>
        <v/>
      </c>
    </row>
    <row r="23">
      <c r="A23" s="11" t="inlineStr">
        <is>
          <t>Gross contribution</t>
        </is>
      </c>
      <c r="B23" s="20">
        <f>B15-B22</f>
        <v/>
      </c>
      <c r="C23" s="20">
        <f>C15-C22</f>
        <v/>
      </c>
      <c r="D23" s="20">
        <f>D15-D22</f>
        <v/>
      </c>
      <c r="E23" s="20">
        <f>E15-E22</f>
        <v/>
      </c>
      <c r="F23" s="20">
        <f>F15-F22</f>
        <v/>
      </c>
    </row>
    <row r="25">
      <c r="A25" s="6" t="inlineStr">
        <is>
          <t>OPERATING COSTS</t>
        </is>
      </c>
    </row>
    <row r="26">
      <c r="A26" s="8" t="inlineStr">
        <is>
          <t>Infrastructure &amp; hosting</t>
        </is>
      </c>
      <c r="B26" s="19">
        <f>'Assumptions'!P34*12</f>
        <v/>
      </c>
      <c r="C26" s="19">
        <f>'Assumptions'!Q34*12</f>
        <v/>
      </c>
      <c r="D26" s="19">
        <f>'Assumptions'!R34*12</f>
        <v/>
      </c>
      <c r="E26" s="19">
        <f>'Assumptions'!S34*12</f>
        <v/>
      </c>
      <c r="F26" s="19">
        <f>'Assumptions'!T34*12</f>
        <v/>
      </c>
    </row>
    <row r="27">
      <c r="A27" s="8" t="inlineStr">
        <is>
          <t>Community HQ (rent + utils + fit-out)</t>
        </is>
      </c>
      <c r="B27" s="19">
        <f>'Assumptions'!P31*'Assumptions'!P32*12+'Assumptions'!P33</f>
        <v/>
      </c>
      <c r="C27" s="19">
        <f>'Assumptions'!Q31*'Assumptions'!Q32*12+'Assumptions'!Q33</f>
        <v/>
      </c>
      <c r="D27" s="19">
        <f>'Assumptions'!R31*'Assumptions'!R32*12+'Assumptions'!R33</f>
        <v/>
      </c>
      <c r="E27" s="19">
        <f>'Assumptions'!S31*'Assumptions'!S32*12+'Assumptions'!S33</f>
        <v/>
      </c>
      <c r="F27" s="19">
        <f>'Assumptions'!T31*'Assumptions'!T32*12+'Assumptions'!T33</f>
        <v/>
      </c>
    </row>
    <row r="28">
      <c r="A28" s="8" t="inlineStr">
        <is>
          <t>Library inventory (partnership-sourced)</t>
        </is>
      </c>
      <c r="B28" s="19">
        <f>'Assumptions'!P17</f>
        <v/>
      </c>
      <c r="C28" s="19">
        <f>'Assumptions'!Q17</f>
        <v/>
      </c>
      <c r="D28" s="19">
        <f>'Assumptions'!R17</f>
        <v/>
      </c>
      <c r="E28" s="19">
        <f>'Assumptions'!S17</f>
        <v/>
      </c>
      <c r="F28" s="19">
        <f>'Assumptions'!T17</f>
        <v/>
      </c>
    </row>
    <row r="29">
      <c r="A29" s="8" t="inlineStr">
        <is>
          <t>Personnel (from Headcount sheet)</t>
        </is>
      </c>
      <c r="B29" s="19">
        <f>'Headcount'!P15</f>
        <v/>
      </c>
      <c r="C29" s="19">
        <f>'Headcount'!Q15</f>
        <v/>
      </c>
      <c r="D29" s="19">
        <f>'Headcount'!R15</f>
        <v/>
      </c>
      <c r="E29" s="19">
        <f>'Headcount'!S15</f>
        <v/>
      </c>
      <c r="F29" s="19">
        <f>'Headcount'!T15</f>
        <v/>
      </c>
    </row>
    <row r="30">
      <c r="A30" s="8" t="inlineStr">
        <is>
          <t>Legal / admin / accounting (outsourced)</t>
        </is>
      </c>
      <c r="B30" s="19">
        <f>'Assumptions'!P35</f>
        <v/>
      </c>
      <c r="C30" s="19">
        <f>'Assumptions'!Q35</f>
        <v/>
      </c>
      <c r="D30" s="19">
        <f>'Assumptions'!R35</f>
        <v/>
      </c>
      <c r="E30" s="19">
        <f>'Assumptions'!S35</f>
        <v/>
      </c>
      <c r="F30" s="19">
        <f>'Assumptions'!T35</f>
        <v/>
      </c>
    </row>
    <row r="31">
      <c r="A31" s="8" t="inlineStr">
        <is>
          <t>Marketing &amp; community</t>
        </is>
      </c>
      <c r="B31" s="19">
        <f>'Assumptions'!P36</f>
        <v/>
      </c>
      <c r="C31" s="19">
        <f>'Assumptions'!Q36</f>
        <v/>
      </c>
      <c r="D31" s="19">
        <f>'Assumptions'!R36</f>
        <v/>
      </c>
      <c r="E31" s="19">
        <f>'Assumptions'!S36</f>
        <v/>
      </c>
      <c r="F31" s="19">
        <f>'Assumptions'!T36</f>
        <v/>
      </c>
    </row>
    <row r="32">
      <c r="A32" s="11" t="inlineStr">
        <is>
          <t>Total operating costs</t>
        </is>
      </c>
      <c r="B32" s="20">
        <f>SUM(B26:B31)</f>
        <v/>
      </c>
      <c r="C32" s="20">
        <f>SUM(C26:C31)</f>
        <v/>
      </c>
      <c r="D32" s="20">
        <f>SUM(D26:D31)</f>
        <v/>
      </c>
      <c r="E32" s="20">
        <f>SUM(E26:E31)</f>
        <v/>
      </c>
      <c r="F32" s="20">
        <f>SUM(F26:F31)</f>
        <v/>
      </c>
    </row>
    <row r="33">
      <c r="A33" s="11" t="inlineStr">
        <is>
          <t>Operating result</t>
        </is>
      </c>
      <c r="B33" s="20">
        <f>B23-B32</f>
        <v/>
      </c>
      <c r="C33" s="20">
        <f>C23-C32</f>
        <v/>
      </c>
      <c r="D33" s="20">
        <f>D23-D32</f>
        <v/>
      </c>
      <c r="E33" s="20">
        <f>E23-E32</f>
        <v/>
      </c>
      <c r="F33" s="20">
        <f>F23-F32</f>
        <v/>
      </c>
    </row>
    <row r="35">
      <c r="A35" s="8" t="inlineStr">
        <is>
          <t>Tax provision (illustrative, gemeinnützig)</t>
        </is>
      </c>
      <c r="B35" s="19">
        <f>MAX(0,(B6+B7+B8+B9+B10+B11-B18-B19-B20-B21-45000))*0.15</f>
        <v/>
      </c>
      <c r="C35" s="19">
        <f>MAX(0,(C6+C7+C8+C9+C10+C11-C18-C19-C20-C21-45000))*0.15</f>
        <v/>
      </c>
      <c r="D35" s="19">
        <f>MAX(0,(D6+D7+D8+D9+D10+D11-D18-D19-D20-D21-45000))*0.15</f>
        <v/>
      </c>
      <c r="E35" s="19">
        <f>MAX(0,(E6+E7+E8+E9+E10+E11-E18-E19-E20-E21-45000))*0.15</f>
        <v/>
      </c>
      <c r="F35" s="19">
        <f>MAX(0,(F6+F7+F8+F9+F10+F11-F18-F19-F20-F21-45000))*0.15</f>
        <v/>
      </c>
    </row>
    <row r="36">
      <c r="A36" s="11" t="inlineStr">
        <is>
          <t>Net surplus / (deficit)</t>
        </is>
      </c>
      <c r="B36" s="21">
        <f>B33-B35</f>
        <v/>
      </c>
      <c r="C36" s="21">
        <f>C33-C35</f>
        <v/>
      </c>
      <c r="D36" s="21">
        <f>D33-D35</f>
        <v/>
      </c>
      <c r="E36" s="21">
        <f>E33-E35</f>
        <v/>
      </c>
      <c r="F36" s="21">
        <f>F33-F35</f>
        <v/>
      </c>
    </row>
    <row r="37">
      <c r="A37" s="11" t="inlineStr">
        <is>
          <t>Cumulative surplus / (deficit)</t>
        </is>
      </c>
      <c r="B37" s="21">
        <f>B36</f>
        <v/>
      </c>
      <c r="C37" s="21">
        <f>B37+C36</f>
        <v/>
      </c>
      <c r="D37" s="21">
        <f>C37+D36</f>
        <v/>
      </c>
      <c r="E37" s="21">
        <f>D37+E36</f>
        <v/>
      </c>
      <c r="F37" s="21">
        <f>E37+F36</f>
        <v/>
      </c>
    </row>
    <row r="39">
      <c r="A39" s="22" t="inlineStr">
        <is>
          <t>MEMO</t>
        </is>
      </c>
    </row>
    <row r="40">
      <c r="A40" s="8" t="inlineStr">
        <is>
          <t>Mission-funding reliance (grants+donations)</t>
        </is>
      </c>
      <c r="B40" s="23">
        <f>(B12+B13)/B15</f>
        <v/>
      </c>
      <c r="C40" s="23">
        <f>(C12+C13)/C15</f>
        <v/>
      </c>
      <c r="D40" s="23">
        <f>(D12+D13)/D15</f>
        <v/>
      </c>
      <c r="E40" s="23">
        <f>(E12+E13)/E15</f>
        <v/>
      </c>
      <c r="F40" s="23">
        <f>(F12+F13)/F15</f>
        <v/>
      </c>
    </row>
    <row r="41">
      <c r="A41" s="8" t="inlineStr">
        <is>
          <t>Commercial revenue (all earned streams)</t>
        </is>
      </c>
      <c r="B41" s="19">
        <f>B6+B7+B8+B9+B10+B11</f>
        <v/>
      </c>
      <c r="C41" s="19">
        <f>C6+C7+C8+C9+C10+C11</f>
        <v/>
      </c>
      <c r="D41" s="19">
        <f>D6+D7+D8+D9+D10+D11</f>
        <v/>
      </c>
      <c r="E41" s="19">
        <f>E6+E7+E8+E9+E10+E11</f>
        <v/>
      </c>
      <c r="F41" s="19">
        <f>F6+F7+F8+F9+F10+F11</f>
        <v/>
      </c>
    </row>
    <row r="42">
      <c r="A42" s="8" t="inlineStr">
        <is>
          <t>New-initiative revenue (lib+cert+B2B)</t>
        </is>
      </c>
      <c r="B42" s="24">
        <f>B9+B10+B11</f>
        <v/>
      </c>
      <c r="C42" s="24">
        <f>C9+C10+C11</f>
        <v/>
      </c>
      <c r="D42" s="24">
        <f>D9+D10+D11</f>
        <v/>
      </c>
      <c r="E42" s="24">
        <f>E9+E10+E11</f>
        <v/>
      </c>
      <c r="F42" s="24">
        <f>F9+F10+F11</f>
        <v/>
      </c>
    </row>
    <row r="43">
      <c r="A43" s="8" t="inlineStr">
        <is>
          <t>New-initiative cost (space+inv+lib+cert ops)</t>
        </is>
      </c>
      <c r="B43" s="24">
        <f>B27+B28+B20+B21</f>
        <v/>
      </c>
      <c r="C43" s="24">
        <f>C27+C28+C20+C21</f>
        <v/>
      </c>
      <c r="D43" s="24">
        <f>D27+D28+D20+D21</f>
        <v/>
      </c>
      <c r="E43" s="24">
        <f>E27+E28+E20+E21</f>
        <v/>
      </c>
      <c r="F43" s="24">
        <f>F27+F28+F20+F21</f>
        <v/>
      </c>
    </row>
    <row r="44">
      <c r="A44" s="8" t="inlineStr">
        <is>
          <t>Total FTE (from Headcount)</t>
        </is>
      </c>
      <c r="B44" s="25">
        <f>'Headcount'!P16</f>
        <v/>
      </c>
      <c r="C44" s="25">
        <f>'Headcount'!Q16</f>
        <v/>
      </c>
      <c r="D44" s="25">
        <f>'Headcount'!R16</f>
        <v/>
      </c>
      <c r="E44" s="25">
        <f>'Headcount'!S16</f>
        <v/>
      </c>
      <c r="F44" s="25">
        <f>'Headcount'!T16</f>
        <v/>
      </c>
    </row>
    <row r="45">
      <c r="A45" s="8" t="inlineStr">
        <is>
          <t>Personnel as % of revenue</t>
        </is>
      </c>
      <c r="B45" s="23">
        <f>B29/B15</f>
        <v/>
      </c>
      <c r="C45" s="23">
        <f>C29/C15</f>
        <v/>
      </c>
      <c r="D45" s="23">
        <f>D29/D15</f>
        <v/>
      </c>
      <c r="E45" s="23">
        <f>E29/E15</f>
        <v/>
      </c>
      <c r="F45" s="23">
        <f>F29/F15</f>
        <v/>
      </c>
    </row>
    <row r="46">
      <c r="A46" s="8" t="inlineStr">
        <is>
          <t>Operating result excl. bridge (underlying business)</t>
        </is>
      </c>
      <c r="B46" s="24">
        <f>B33-B14</f>
        <v/>
      </c>
      <c r="C46" s="24">
        <f>C33-C14</f>
        <v/>
      </c>
      <c r="D46" s="24">
        <f>D33-D14</f>
        <v/>
      </c>
      <c r="E46" s="24">
        <f>E33-E14</f>
        <v/>
      </c>
      <c r="F46" s="24">
        <f>F33-F14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4"/>
  <sheetViews>
    <sheetView showGridLines="0"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Summary — three scenarios compared</t>
        </is>
      </c>
    </row>
    <row r="2">
      <c r="A2" s="2" t="inlineStr">
        <is>
          <t>All figures pulled live from the model + headcount sheets.</t>
        </is>
      </c>
    </row>
    <row r="3">
      <c r="B3" s="5" t="inlineStr">
        <is>
          <t>Conservative</t>
        </is>
      </c>
      <c r="H3" s="5" t="inlineStr">
        <is>
          <t>Base</t>
        </is>
      </c>
      <c r="N3" s="5" t="inlineStr">
        <is>
          <t>Ambitious</t>
        </is>
      </c>
    </row>
    <row r="4">
      <c r="A4" s="6" t="inlineStr">
        <is>
          <t>Metric</t>
        </is>
      </c>
      <c r="B4" s="7" t="inlineStr">
        <is>
          <t>Y1</t>
        </is>
      </c>
      <c r="C4" s="7" t="inlineStr">
        <is>
          <t>Y2</t>
        </is>
      </c>
      <c r="D4" s="7" t="inlineStr">
        <is>
          <t>Y3</t>
        </is>
      </c>
      <c r="E4" s="7" t="inlineStr">
        <is>
          <t>Y4</t>
        </is>
      </c>
      <c r="F4" s="7" t="inlineStr">
        <is>
          <t>Y5</t>
        </is>
      </c>
      <c r="H4" s="7" t="inlineStr">
        <is>
          <t>Y1</t>
        </is>
      </c>
      <c r="I4" s="7" t="inlineStr">
        <is>
          <t>Y2</t>
        </is>
      </c>
      <c r="J4" s="7" t="inlineStr">
        <is>
          <t>Y3</t>
        </is>
      </c>
      <c r="K4" s="7" t="inlineStr">
        <is>
          <t>Y4</t>
        </is>
      </c>
      <c r="L4" s="7" t="inlineStr">
        <is>
          <t>Y5</t>
        </is>
      </c>
      <c r="N4" s="7" t="inlineStr">
        <is>
          <t>Y1</t>
        </is>
      </c>
      <c r="O4" s="7" t="inlineStr">
        <is>
          <t>Y2</t>
        </is>
      </c>
      <c r="P4" s="7" t="inlineStr">
        <is>
          <t>Y3</t>
        </is>
      </c>
      <c r="Q4" s="7" t="inlineStr">
        <is>
          <t>Y4</t>
        </is>
      </c>
      <c r="R4" s="7" t="inlineStr">
        <is>
          <t>Y5</t>
        </is>
      </c>
    </row>
    <row r="5">
      <c r="A5" s="11" t="inlineStr">
        <is>
          <t>Total revenue</t>
        </is>
      </c>
      <c r="B5" s="26">
        <f>'Model - Conservative'!B15</f>
        <v/>
      </c>
      <c r="C5" s="26">
        <f>'Model - Conservative'!C15</f>
        <v/>
      </c>
      <c r="D5" s="26">
        <f>'Model - Conservative'!D15</f>
        <v/>
      </c>
      <c r="E5" s="26">
        <f>'Model - Conservative'!E15</f>
        <v/>
      </c>
      <c r="F5" s="26">
        <f>'Model - Conservative'!F15</f>
        <v/>
      </c>
      <c r="H5" s="26">
        <f>'Model - Base'!B15</f>
        <v/>
      </c>
      <c r="I5" s="26">
        <f>'Model - Base'!C15</f>
        <v/>
      </c>
      <c r="J5" s="26">
        <f>'Model - Base'!D15</f>
        <v/>
      </c>
      <c r="K5" s="26">
        <f>'Model - Base'!E15</f>
        <v/>
      </c>
      <c r="L5" s="26">
        <f>'Model - Base'!F15</f>
        <v/>
      </c>
      <c r="N5" s="26">
        <f>'Model - Ambitious'!B15</f>
        <v/>
      </c>
      <c r="O5" s="26">
        <f>'Model - Ambitious'!C15</f>
        <v/>
      </c>
      <c r="P5" s="26">
        <f>'Model - Ambitious'!D15</f>
        <v/>
      </c>
      <c r="Q5" s="26">
        <f>'Model - Ambitious'!E15</f>
        <v/>
      </c>
      <c r="R5" s="26">
        <f>'Model - Ambitious'!F15</f>
        <v/>
      </c>
    </row>
    <row r="6">
      <c r="A6" s="8" t="inlineStr">
        <is>
          <t>Working-capital bridge drawn</t>
        </is>
      </c>
      <c r="B6" s="19">
        <f>'Model - Conservative'!B14</f>
        <v/>
      </c>
      <c r="C6" s="19">
        <f>'Model - Conservative'!C14</f>
        <v/>
      </c>
      <c r="D6" s="19">
        <f>'Model - Conservative'!D14</f>
        <v/>
      </c>
      <c r="E6" s="19">
        <f>'Model - Conservative'!E14</f>
        <v/>
      </c>
      <c r="F6" s="19">
        <f>'Model - Conservative'!F14</f>
        <v/>
      </c>
      <c r="H6" s="19">
        <f>'Model - Base'!B14</f>
        <v/>
      </c>
      <c r="I6" s="19">
        <f>'Model - Base'!C14</f>
        <v/>
      </c>
      <c r="J6" s="19">
        <f>'Model - Base'!D14</f>
        <v/>
      </c>
      <c r="K6" s="19">
        <f>'Model - Base'!E14</f>
        <v/>
      </c>
      <c r="L6" s="19">
        <f>'Model - Base'!F14</f>
        <v/>
      </c>
      <c r="N6" s="19">
        <f>'Model - Ambitious'!B14</f>
        <v/>
      </c>
      <c r="O6" s="19">
        <f>'Model - Ambitious'!C14</f>
        <v/>
      </c>
      <c r="P6" s="19">
        <f>'Model - Ambitious'!D14</f>
        <v/>
      </c>
      <c r="Q6" s="19">
        <f>'Model - Ambitious'!E14</f>
        <v/>
      </c>
      <c r="R6" s="19">
        <f>'Model - Ambitious'!F14</f>
        <v/>
      </c>
    </row>
    <row r="7">
      <c r="A7" s="8" t="inlineStr">
        <is>
          <t>Operating result excl. bridge</t>
        </is>
      </c>
      <c r="B7" s="19">
        <f>'Model - Conservative'!B46</f>
        <v/>
      </c>
      <c r="C7" s="19">
        <f>'Model - Conservative'!C46</f>
        <v/>
      </c>
      <c r="D7" s="19">
        <f>'Model - Conservative'!D46</f>
        <v/>
      </c>
      <c r="E7" s="19">
        <f>'Model - Conservative'!E46</f>
        <v/>
      </c>
      <c r="F7" s="19">
        <f>'Model - Conservative'!F46</f>
        <v/>
      </c>
      <c r="H7" s="19">
        <f>'Model - Base'!B46</f>
        <v/>
      </c>
      <c r="I7" s="19">
        <f>'Model - Base'!C46</f>
        <v/>
      </c>
      <c r="J7" s="19">
        <f>'Model - Base'!D46</f>
        <v/>
      </c>
      <c r="K7" s="19">
        <f>'Model - Base'!E46</f>
        <v/>
      </c>
      <c r="L7" s="19">
        <f>'Model - Base'!F46</f>
        <v/>
      </c>
      <c r="N7" s="19">
        <f>'Model - Ambitious'!B46</f>
        <v/>
      </c>
      <c r="O7" s="19">
        <f>'Model - Ambitious'!C46</f>
        <v/>
      </c>
      <c r="P7" s="19">
        <f>'Model - Ambitious'!D46</f>
        <v/>
      </c>
      <c r="Q7" s="19">
        <f>'Model - Ambitious'!E46</f>
        <v/>
      </c>
      <c r="R7" s="19">
        <f>'Model - Ambitious'!F46</f>
        <v/>
      </c>
    </row>
    <row r="8">
      <c r="A8" s="8" t="inlineStr">
        <is>
          <t>Personnel cost</t>
        </is>
      </c>
      <c r="B8" s="19">
        <f>'Model - Conservative'!B29</f>
        <v/>
      </c>
      <c r="C8" s="19">
        <f>'Model - Conservative'!C29</f>
        <v/>
      </c>
      <c r="D8" s="19">
        <f>'Model - Conservative'!D29</f>
        <v/>
      </c>
      <c r="E8" s="19">
        <f>'Model - Conservative'!E29</f>
        <v/>
      </c>
      <c r="F8" s="19">
        <f>'Model - Conservative'!F29</f>
        <v/>
      </c>
      <c r="H8" s="19">
        <f>'Model - Base'!B29</f>
        <v/>
      </c>
      <c r="I8" s="19">
        <f>'Model - Base'!C29</f>
        <v/>
      </c>
      <c r="J8" s="19">
        <f>'Model - Base'!D29</f>
        <v/>
      </c>
      <c r="K8" s="19">
        <f>'Model - Base'!E29</f>
        <v/>
      </c>
      <c r="L8" s="19">
        <f>'Model - Base'!F29</f>
        <v/>
      </c>
      <c r="N8" s="19">
        <f>'Model - Ambitious'!B29</f>
        <v/>
      </c>
      <c r="O8" s="19">
        <f>'Model - Ambitious'!C29</f>
        <v/>
      </c>
      <c r="P8" s="19">
        <f>'Model - Ambitious'!D29</f>
        <v/>
      </c>
      <c r="Q8" s="19">
        <f>'Model - Ambitious'!E29</f>
        <v/>
      </c>
      <c r="R8" s="19">
        <f>'Model - Ambitious'!F29</f>
        <v/>
      </c>
    </row>
    <row r="9">
      <c r="A9" s="8" t="inlineStr">
        <is>
          <t>Total FTE</t>
        </is>
      </c>
      <c r="B9" s="27">
        <f>'Model - Conservative'!B44</f>
        <v/>
      </c>
      <c r="C9" s="27">
        <f>'Model - Conservative'!C44</f>
        <v/>
      </c>
      <c r="D9" s="27">
        <f>'Model - Conservative'!D44</f>
        <v/>
      </c>
      <c r="E9" s="27">
        <f>'Model - Conservative'!E44</f>
        <v/>
      </c>
      <c r="F9" s="27">
        <f>'Model - Conservative'!F44</f>
        <v/>
      </c>
      <c r="H9" s="27">
        <f>'Model - Base'!B44</f>
        <v/>
      </c>
      <c r="I9" s="27">
        <f>'Model - Base'!C44</f>
        <v/>
      </c>
      <c r="J9" s="27">
        <f>'Model - Base'!D44</f>
        <v/>
      </c>
      <c r="K9" s="27">
        <f>'Model - Base'!E44</f>
        <v/>
      </c>
      <c r="L9" s="27">
        <f>'Model - Base'!F44</f>
        <v/>
      </c>
      <c r="N9" s="27">
        <f>'Model - Ambitious'!B44</f>
        <v/>
      </c>
      <c r="O9" s="27">
        <f>'Model - Ambitious'!C44</f>
        <v/>
      </c>
      <c r="P9" s="27">
        <f>'Model - Ambitious'!D44</f>
        <v/>
      </c>
      <c r="Q9" s="27">
        <f>'Model - Ambitious'!E44</f>
        <v/>
      </c>
      <c r="R9" s="27">
        <f>'Model - Ambitious'!F44</f>
        <v/>
      </c>
    </row>
    <row r="10">
      <c r="A10" s="8" t="inlineStr">
        <is>
          <t>Personnel as % of revenue</t>
        </is>
      </c>
      <c r="B10" s="28">
        <f>'Model - Conservative'!B45</f>
        <v/>
      </c>
      <c r="C10" s="28">
        <f>'Model - Conservative'!C45</f>
        <v/>
      </c>
      <c r="D10" s="28">
        <f>'Model - Conservative'!D45</f>
        <v/>
      </c>
      <c r="E10" s="28">
        <f>'Model - Conservative'!E45</f>
        <v/>
      </c>
      <c r="F10" s="28">
        <f>'Model - Conservative'!F45</f>
        <v/>
      </c>
      <c r="H10" s="28">
        <f>'Model - Base'!B45</f>
        <v/>
      </c>
      <c r="I10" s="28">
        <f>'Model - Base'!C45</f>
        <v/>
      </c>
      <c r="J10" s="28">
        <f>'Model - Base'!D45</f>
        <v/>
      </c>
      <c r="K10" s="28">
        <f>'Model - Base'!E45</f>
        <v/>
      </c>
      <c r="L10" s="28">
        <f>'Model - Base'!F45</f>
        <v/>
      </c>
      <c r="N10" s="28">
        <f>'Model - Ambitious'!B45</f>
        <v/>
      </c>
      <c r="O10" s="28">
        <f>'Model - Ambitious'!C45</f>
        <v/>
      </c>
      <c r="P10" s="28">
        <f>'Model - Ambitious'!D45</f>
        <v/>
      </c>
      <c r="Q10" s="28">
        <f>'Model - Ambitious'!E45</f>
        <v/>
      </c>
      <c r="R10" s="28">
        <f>'Model - Ambitious'!F45</f>
        <v/>
      </c>
    </row>
    <row r="11">
      <c r="A11" s="8" t="inlineStr">
        <is>
          <t>New-initiative revenue (lib+cert+B2B)</t>
        </is>
      </c>
      <c r="B11" s="19">
        <f>'Model - Conservative'!B42</f>
        <v/>
      </c>
      <c r="C11" s="19">
        <f>'Model - Conservative'!C42</f>
        <v/>
      </c>
      <c r="D11" s="19">
        <f>'Model - Conservative'!D42</f>
        <v/>
      </c>
      <c r="E11" s="19">
        <f>'Model - Conservative'!E42</f>
        <v/>
      </c>
      <c r="F11" s="19">
        <f>'Model - Conservative'!F42</f>
        <v/>
      </c>
      <c r="H11" s="19">
        <f>'Model - Base'!B42</f>
        <v/>
      </c>
      <c r="I11" s="19">
        <f>'Model - Base'!C42</f>
        <v/>
      </c>
      <c r="J11" s="19">
        <f>'Model - Base'!D42</f>
        <v/>
      </c>
      <c r="K11" s="19">
        <f>'Model - Base'!E42</f>
        <v/>
      </c>
      <c r="L11" s="19">
        <f>'Model - Base'!F42</f>
        <v/>
      </c>
      <c r="N11" s="19">
        <f>'Model - Ambitious'!B42</f>
        <v/>
      </c>
      <c r="O11" s="19">
        <f>'Model - Ambitious'!C42</f>
        <v/>
      </c>
      <c r="P11" s="19">
        <f>'Model - Ambitious'!D42</f>
        <v/>
      </c>
      <c r="Q11" s="19">
        <f>'Model - Ambitious'!E42</f>
        <v/>
      </c>
      <c r="R11" s="19">
        <f>'Model - Ambitious'!F42</f>
        <v/>
      </c>
    </row>
    <row r="12">
      <c r="A12" s="8" t="inlineStr">
        <is>
          <t>New-initiative cost</t>
        </is>
      </c>
      <c r="B12" s="19">
        <f>'Model - Conservative'!B43</f>
        <v/>
      </c>
      <c r="C12" s="19">
        <f>'Model - Conservative'!C43</f>
        <v/>
      </c>
      <c r="D12" s="19">
        <f>'Model - Conservative'!D43</f>
        <v/>
      </c>
      <c r="E12" s="19">
        <f>'Model - Conservative'!E43</f>
        <v/>
      </c>
      <c r="F12" s="19">
        <f>'Model - Conservative'!F43</f>
        <v/>
      </c>
      <c r="H12" s="19">
        <f>'Model - Base'!B43</f>
        <v/>
      </c>
      <c r="I12" s="19">
        <f>'Model - Base'!C43</f>
        <v/>
      </c>
      <c r="J12" s="19">
        <f>'Model - Base'!D43</f>
        <v/>
      </c>
      <c r="K12" s="19">
        <f>'Model - Base'!E43</f>
        <v/>
      </c>
      <c r="L12" s="19">
        <f>'Model - Base'!F43</f>
        <v/>
      </c>
      <c r="N12" s="19">
        <f>'Model - Ambitious'!B43</f>
        <v/>
      </c>
      <c r="O12" s="19">
        <f>'Model - Ambitious'!C43</f>
        <v/>
      </c>
      <c r="P12" s="19">
        <f>'Model - Ambitious'!D43</f>
        <v/>
      </c>
      <c r="Q12" s="19">
        <f>'Model - Ambitious'!E43</f>
        <v/>
      </c>
      <c r="R12" s="19">
        <f>'Model - Ambitious'!F43</f>
        <v/>
      </c>
    </row>
    <row r="13">
      <c r="A13" s="8" t="inlineStr">
        <is>
          <t>Total costs (direct + operating)</t>
        </is>
      </c>
      <c r="B13" s="19">
        <f>'Model - Conservative'!B22+'Model - Conservative'!B32</f>
        <v/>
      </c>
      <c r="C13" s="19">
        <f>'Model - Conservative'!C22+'Model - Conservative'!C32</f>
        <v/>
      </c>
      <c r="D13" s="19">
        <f>'Model - Conservative'!D22+'Model - Conservative'!D32</f>
        <v/>
      </c>
      <c r="E13" s="19">
        <f>'Model - Conservative'!E22+'Model - Conservative'!E32</f>
        <v/>
      </c>
      <c r="F13" s="19">
        <f>'Model - Conservative'!F22+'Model - Conservative'!F32</f>
        <v/>
      </c>
      <c r="H13" s="19">
        <f>'Model - Base'!B22+'Model - Base'!B32</f>
        <v/>
      </c>
      <c r="I13" s="19">
        <f>'Model - Base'!C22+'Model - Base'!C32</f>
        <v/>
      </c>
      <c r="J13" s="19">
        <f>'Model - Base'!D22+'Model - Base'!D32</f>
        <v/>
      </c>
      <c r="K13" s="19">
        <f>'Model - Base'!E22+'Model - Base'!E32</f>
        <v/>
      </c>
      <c r="L13" s="19">
        <f>'Model - Base'!F22+'Model - Base'!F32</f>
        <v/>
      </c>
      <c r="N13" s="19">
        <f>'Model - Ambitious'!B22+'Model - Ambitious'!B32</f>
        <v/>
      </c>
      <c r="O13" s="19">
        <f>'Model - Ambitious'!C22+'Model - Ambitious'!C32</f>
        <v/>
      </c>
      <c r="P13" s="19">
        <f>'Model - Ambitious'!D22+'Model - Ambitious'!D32</f>
        <v/>
      </c>
      <c r="Q13" s="19">
        <f>'Model - Ambitious'!E22+'Model - Ambitious'!E32</f>
        <v/>
      </c>
      <c r="R13" s="19">
        <f>'Model - Ambitious'!F22+'Model - Ambitious'!F32</f>
        <v/>
      </c>
    </row>
    <row r="14">
      <c r="A14" s="11" t="inlineStr">
        <is>
          <t>Net surplus / (deficit)</t>
        </is>
      </c>
      <c r="B14" s="26">
        <f>'Model - Conservative'!B36</f>
        <v/>
      </c>
      <c r="C14" s="26">
        <f>'Model - Conservative'!C36</f>
        <v/>
      </c>
      <c r="D14" s="26">
        <f>'Model - Conservative'!D36</f>
        <v/>
      </c>
      <c r="E14" s="26">
        <f>'Model - Conservative'!E36</f>
        <v/>
      </c>
      <c r="F14" s="26">
        <f>'Model - Conservative'!F36</f>
        <v/>
      </c>
      <c r="H14" s="26">
        <f>'Model - Base'!B36</f>
        <v/>
      </c>
      <c r="I14" s="26">
        <f>'Model - Base'!C36</f>
        <v/>
      </c>
      <c r="J14" s="26">
        <f>'Model - Base'!D36</f>
        <v/>
      </c>
      <c r="K14" s="26">
        <f>'Model - Base'!E36</f>
        <v/>
      </c>
      <c r="L14" s="26">
        <f>'Model - Base'!F36</f>
        <v/>
      </c>
      <c r="N14" s="26">
        <f>'Model - Ambitious'!B36</f>
        <v/>
      </c>
      <c r="O14" s="26">
        <f>'Model - Ambitious'!C36</f>
        <v/>
      </c>
      <c r="P14" s="26">
        <f>'Model - Ambitious'!D36</f>
        <v/>
      </c>
      <c r="Q14" s="26">
        <f>'Model - Ambitious'!E36</f>
        <v/>
      </c>
      <c r="R14" s="26">
        <f>'Model - Ambitious'!F36</f>
        <v/>
      </c>
    </row>
    <row r="15">
      <c r="A15" s="11" t="inlineStr">
        <is>
          <t>Cumulative surplus / (deficit)</t>
        </is>
      </c>
      <c r="B15" s="29">
        <f>'Model - Conservative'!B37</f>
        <v/>
      </c>
      <c r="C15" s="29">
        <f>'Model - Conservative'!C37</f>
        <v/>
      </c>
      <c r="D15" s="29">
        <f>'Model - Conservative'!D37</f>
        <v/>
      </c>
      <c r="E15" s="29">
        <f>'Model - Conservative'!E37</f>
        <v/>
      </c>
      <c r="F15" s="29">
        <f>'Model - Conservative'!F37</f>
        <v/>
      </c>
      <c r="H15" s="29">
        <f>'Model - Base'!B37</f>
        <v/>
      </c>
      <c r="I15" s="29">
        <f>'Model - Base'!C37</f>
        <v/>
      </c>
      <c r="J15" s="29">
        <f>'Model - Base'!D37</f>
        <v/>
      </c>
      <c r="K15" s="29">
        <f>'Model - Base'!E37</f>
        <v/>
      </c>
      <c r="L15" s="29">
        <f>'Model - Base'!F37</f>
        <v/>
      </c>
      <c r="N15" s="29">
        <f>'Model - Ambitious'!B37</f>
        <v/>
      </c>
      <c r="O15" s="29">
        <f>'Model - Ambitious'!C37</f>
        <v/>
      </c>
      <c r="P15" s="29">
        <f>'Model - Ambitious'!D37</f>
        <v/>
      </c>
      <c r="Q15" s="29">
        <f>'Model - Ambitious'!E37</f>
        <v/>
      </c>
      <c r="R15" s="29">
        <f>'Model - Ambitious'!F37</f>
        <v/>
      </c>
    </row>
    <row r="16">
      <c r="A16" s="8" t="inlineStr">
        <is>
          <t>Mission-funding reliance</t>
        </is>
      </c>
      <c r="B16" s="28">
        <f>'Model - Conservative'!B40</f>
        <v/>
      </c>
      <c r="C16" s="28">
        <f>'Model - Conservative'!C40</f>
        <v/>
      </c>
      <c r="D16" s="28">
        <f>'Model - Conservative'!D40</f>
        <v/>
      </c>
      <c r="E16" s="28">
        <f>'Model - Conservative'!E40</f>
        <v/>
      </c>
      <c r="F16" s="28">
        <f>'Model - Conservative'!F40</f>
        <v/>
      </c>
      <c r="H16" s="28">
        <f>'Model - Base'!B40</f>
        <v/>
      </c>
      <c r="I16" s="28">
        <f>'Model - Base'!C40</f>
        <v/>
      </c>
      <c r="J16" s="28">
        <f>'Model - Base'!D40</f>
        <v/>
      </c>
      <c r="K16" s="28">
        <f>'Model - Base'!E40</f>
        <v/>
      </c>
      <c r="L16" s="28">
        <f>'Model - Base'!F40</f>
        <v/>
      </c>
      <c r="N16" s="28">
        <f>'Model - Ambitious'!B40</f>
        <v/>
      </c>
      <c r="O16" s="28">
        <f>'Model - Ambitious'!C40</f>
        <v/>
      </c>
      <c r="P16" s="28">
        <f>'Model - Ambitious'!D40</f>
        <v/>
      </c>
      <c r="Q16" s="28">
        <f>'Model - Ambitious'!E40</f>
        <v/>
      </c>
      <c r="R16" s="28">
        <f>'Model - Ambitious'!F40</f>
        <v/>
      </c>
    </row>
    <row r="18">
      <c r="A18" s="3" t="inlineStr">
        <is>
          <t>Reading the model</t>
        </is>
      </c>
    </row>
    <row r="19" ht="30" customHeight="1">
      <c r="A19" s="4" t="inlineStr">
        <is>
          <t>• Conservative stays volunteer-tiny (≤0.65 FTE) and net-positive every year — no bridge needed.</t>
        </is>
      </c>
    </row>
    <row r="20" ht="30" customHeight="1">
      <c r="A20" s="4" t="inlineStr">
        <is>
          <t>• Base (Commercial Engine path) needs a €170k working-capital bridge drawn Y1–Y4 (50/80/10/30). The underlying operating business reaches break-even at Y3; with the bridge every year is net-positive and Y5 produces a genuine €35k surplus.</t>
        </is>
      </c>
    </row>
    <row r="21" ht="30" customHeight="1">
      <c r="A21" s="4" t="inlineStr">
        <is>
          <t>• Ambitious needs a €115k bridge across Y1–Y2 only; self-sustaining from Y3 and produces a €432k surplus by Y5.</t>
        </is>
      </c>
    </row>
    <row r="22" ht="30" customHeight="1">
      <c r="A22" s="4" t="inlineStr">
        <is>
          <t>• The Y4 bridge draw (€30k in Base) is larger than Y3's because Y4 carries BOTH the operating dip (team scales ahead of commercial ramp) AND the first year of corporation tax (commercial surplus crosses the €45k exemption). The bridge smooths both.</t>
        </is>
      </c>
    </row>
    <row r="23" ht="30" customHeight="1">
      <c r="A23" s="4" t="inlineStr">
        <is>
          <t>• 'Operating result excl. bridge' (memo line) shows the underlying business honestly: loss-making Y1–Y4, break-even Y3, surplus Y5. The bridge is the explicit instrument that funds that gap.</t>
        </is>
      </c>
    </row>
    <row r="24" ht="30" customHeight="1">
      <c r="A24" s="4" t="inlineStr">
        <is>
          <t>• Personnel runs ~50–62% of revenue early, settling to ~40–49% by Y5 — normal for a service/community nonprofit.</t>
        </is>
      </c>
    </row>
  </sheetData>
  <mergeCells count="9">
    <mergeCell ref="H3:L3"/>
    <mergeCell ref="N3:R3"/>
    <mergeCell ref="A23:P23"/>
    <mergeCell ref="B3:F3"/>
    <mergeCell ref="A22:P22"/>
    <mergeCell ref="A20:P20"/>
    <mergeCell ref="A21:P21"/>
    <mergeCell ref="A24:P24"/>
    <mergeCell ref="A19:P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6"/>
  <sheetViews>
    <sheetView showGridLines="0" workbookViewId="0">
      <selection activeCell="A1" sqref="A1"/>
    </sheetView>
  </sheetViews>
  <sheetFormatPr baseColWidth="8" defaultRowHeight="15"/>
  <cols>
    <col width="32" customWidth="1" min="1" max="1"/>
    <col width="28" customWidth="1" min="2" max="2"/>
    <col width="54" customWidth="1" min="3" max="3"/>
    <col width="52" customWidth="1" min="4" max="4"/>
  </cols>
  <sheetData>
    <row r="1">
      <c r="A1" s="1" t="inlineStr">
        <is>
          <t>Research &amp; Benchmarks — what's reasonable, with sources</t>
        </is>
      </c>
    </row>
    <row r="2">
      <c r="A2" s="2" t="inlineStr">
        <is>
          <t>Used to ground the assumptions and salary costs. Every row links to its primary source.</t>
        </is>
      </c>
    </row>
    <row r="4" ht="18" customHeight="1">
      <c r="A4" s="30" t="inlineStr">
        <is>
          <t>Source</t>
        </is>
      </c>
      <c r="B4" s="30" t="inlineStr">
        <is>
          <t>Figure</t>
        </is>
      </c>
      <c r="C4" s="30" t="inlineStr">
        <is>
          <t>Why it matters</t>
        </is>
      </c>
      <c r="D4" s="30" t="inlineStr">
        <is>
          <t>Link</t>
        </is>
      </c>
    </row>
    <row r="5" ht="18" customHeight="1">
      <c r="A5" s="31" t="inlineStr">
        <is>
          <t>Salaries &amp; staffing</t>
        </is>
      </c>
    </row>
    <row r="6" ht="48" customHeight="1">
      <c r="A6" s="4" t="inlineStr">
        <is>
          <t>Laravel-Entwickler — Laravel salary guide</t>
        </is>
      </c>
      <c r="B6" s="4" t="inlineStr">
        <is>
          <t>Germany: junior €30–45k, mid €50–65k, senior €70–90k (avg ~€55k)</t>
        </is>
      </c>
      <c r="C6" s="4" t="inlineStr">
        <is>
          <t>Anchors the Engineering role costs. All-in cost = these gross figures × ~1.22 employer overhead.</t>
        </is>
      </c>
      <c r="D6" s="32" t="inlineStr">
        <is>
          <t>https://www.laravel-entwickler.de/en/laravel-developer-salary-a-comprehensive-guide/</t>
        </is>
      </c>
    </row>
    <row r="7" ht="48" customHeight="1">
      <c r="A7" s="4" t="inlineStr">
        <is>
          <t>Glassdoor — PHP Laravel Developer salary Germany</t>
        </is>
      </c>
      <c r="B7" s="4" t="inlineStr">
        <is>
          <t>Avg €67,000 (range €56,500–€70,000)</t>
        </is>
      </c>
      <c r="C7" s="4" t="inlineStr">
        <is>
          <t>Cross-check for senior/mid engineering gross salaries in Germany.</t>
        </is>
      </c>
      <c r="D7" s="32" t="inlineStr">
        <is>
          <t>https://www.glassdoor.com/Salaries/germany-laravel-php-developer-salary-SRCH_IL.0,7_IN96_KO8,29.htm</t>
        </is>
      </c>
    </row>
    <row r="8" ht="48" customHeight="1">
      <c r="A8" s="4" t="inlineStr">
        <is>
          <t>GermanTechJobs — Laravel salary Germany</t>
        </is>
      </c>
      <c r="B8" s="4" t="inlineStr">
        <is>
          <t>Avg €58,000 / median €57,500</t>
        </is>
      </c>
      <c r="C8" s="4" t="inlineStr">
        <is>
          <t>Independent market aggregate for Laravel roles in Germany.</t>
        </is>
      </c>
      <c r="D8" s="32" t="inlineStr">
        <is>
          <t>https://germantechjobs.de/en/salaries/Laravel/all/all</t>
        </is>
      </c>
    </row>
    <row r="9" ht="48" customHeight="1">
      <c r="A9" s="4" t="inlineStr">
        <is>
          <t>PayScale — Program Manager, Non-Profit (Germany)</t>
        </is>
      </c>
      <c r="B9" s="4" t="inlineStr">
        <is>
          <t>Avg €49,974 (early €42k, mid €58k)</t>
        </is>
      </c>
      <c r="C9" s="4" t="inlineStr">
        <is>
          <t>Anchors Community Manager / Programme Lead costs in the nonprofit sector.</t>
        </is>
      </c>
      <c r="D9" s="32" t="inlineStr">
        <is>
          <t>https://www.payscale.com/research/DE/Job=Program_Manager%2C_Non-Profit_Organization/Salary</t>
        </is>
      </c>
    </row>
    <row r="10" ht="48" customHeight="1">
      <c r="A10" s="4" t="inlineStr">
        <is>
          <t>SalaryExpert — Non-Profit Director (Germany)</t>
        </is>
      </c>
      <c r="B10" s="4" t="inlineStr">
        <is>
          <t>Avg €42,646 (entry €31,696)</t>
        </is>
      </c>
      <c r="C10" s="4" t="inlineStr">
        <is>
          <t>Reference for fundraising/operations leadership roles; nonprofit-sector ceiling.</t>
        </is>
      </c>
      <c r="D10" s="32" t="inlineStr">
        <is>
          <t>https://www.salaryexpert.com/salary/job/non-profit-director/germany</t>
        </is>
      </c>
    </row>
    <row r="11" ht="48" customHeight="1">
      <c r="A11" s="4" t="inlineStr">
        <is>
          <t>SalaryExplorer — Fundraising &amp; Non-Profit (Germany)</t>
        </is>
      </c>
      <c r="B11" s="4" t="inlineStr">
        <is>
          <t>Median €2,660/mo (~€32k), avg €2,810/mo, up to €5,670/mo (~€68k)</t>
        </is>
      </c>
      <c r="C11" s="4" t="inlineStr">
        <is>
          <t>Fundraising/Grants Lead and Partnerships Manager salary band (nonprofit field).</t>
        </is>
      </c>
      <c r="D11" s="32" t="inlineStr">
        <is>
          <t>http://www.salaryexplorer.com/salary-survey.php?loc=81&amp;loctype=1&amp;job=5&amp;jobtype=1</t>
        </is>
      </c>
    </row>
    <row r="12" ht="48" customHeight="1">
      <c r="A12" s="4" t="inlineStr">
        <is>
          <t>EngageAnywhere — Employee costs in Germany</t>
        </is>
      </c>
      <c r="B12" s="4" t="inlineStr">
        <is>
          <t>Employer overhead ~21–23% (Arbeitgeberanteil)</t>
        </is>
      </c>
      <c r="C12" s="4" t="inlineStr">
        <is>
          <t>Drives the gross × 1.22 multiplier used for all-in role costs. Pension 9.3%, health 7.3%, unemployment 1.3%, care 1.525%.</t>
        </is>
      </c>
      <c r="D12" s="32" t="inlineStr">
        <is>
          <t>https://engageanywhere.com/blog/calculating-employee-costs-in-germany-step-by-step/</t>
        </is>
      </c>
    </row>
    <row r="13" ht="48" customHeight="1">
      <c r="A13" s="4" t="inlineStr">
        <is>
          <t>FMC Group — Total cost of employment in Germany</t>
        </is>
      </c>
      <c r="B13" s="4" t="inlineStr">
        <is>
          <t>Total employer cost 20–26% above gross</t>
        </is>
      </c>
      <c r="C13" s="4" t="inlineStr">
        <is>
          <t>Confirms the all-in multiplier band; notes social-security contribution caps flatten senior costs.</t>
        </is>
      </c>
      <c r="D13" s="32" t="inlineStr">
        <is>
          <t>https://fmcgroup.com/employment-cost-germany/</t>
        </is>
      </c>
    </row>
    <row r="14" ht="18" customHeight="1">
      <c r="A14" s="31" t="inlineStr">
        <is>
          <t>German donations</t>
        </is>
      </c>
    </row>
    <row r="15" ht="48" customHeight="1">
      <c r="A15" s="4" t="inlineStr">
        <is>
          <t>IW Köln — Fast jeder zweite Deutsche spendet</t>
        </is>
      </c>
      <c r="B15" s="4" t="inlineStr">
        <is>
          <t>~€415/donor/yr avg (median ~€300)</t>
        </is>
      </c>
      <c r="C15" s="4" t="inlineStr">
        <is>
          <t>German donors give less per head than the global average. Model uses €45–125/yr per recurring donor. Note: site may return HTTP 401 to bots/HEAD; opens normally in a browser.</t>
        </is>
      </c>
      <c r="D15" s="32" t="inlineStr">
        <is>
          <t>https://www.iwkoeln.de/studien/dominik-h-enste-jennifer-potthoff-fast-jeder-zweite-deutsche-spendet.html</t>
        </is>
      </c>
    </row>
    <row r="16" ht="48" customHeight="1">
      <c r="A16" s="4" t="inlineStr">
        <is>
          <t>DIW SOEPpapers — Spenden in Deutschland</t>
        </is>
      </c>
      <c r="B16" s="4" t="inlineStr">
        <is>
          <t>Median €200→€300 (2009–2017)</t>
        </is>
      </c>
      <c r="C16" s="4" t="inlineStr">
        <is>
          <t>Methodology detail behind German donation-volume estimates.</t>
        </is>
      </c>
      <c r="D16" s="32" t="inlineStr">
        <is>
          <t>https://www.diw.de/documents/publikationen/73/diw_01.c.738864.de/diw_sp1074.pdf</t>
        </is>
      </c>
    </row>
    <row r="17" ht="48" customHeight="1">
      <c r="A17" s="4" t="inlineStr">
        <is>
          <t>World Giving Report (CAF / Maecenata)</t>
        </is>
      </c>
      <c r="B17" s="4" t="inlineStr">
        <is>
          <t>46–49% of Germans donate (global 61–64%)</t>
        </is>
      </c>
      <c r="C17" s="4" t="inlineStr">
        <is>
          <t>Germany is a low-giving culture; transparency lever for fundraising.</t>
        </is>
      </c>
      <c r="D17" s="32" t="inlineStr">
        <is>
          <t>https://www.maecenata.eu/2026/06/03/world-giving-report-2025-deutschland-spendet-weiterhin-unterdurchschnittlich</t>
        </is>
      </c>
    </row>
    <row r="18" ht="48" customHeight="1">
      <c r="A18" s="4" t="inlineStr">
        <is>
          <t>Giving in Germany Report 2025 (CAF / Maecenata)</t>
        </is>
      </c>
      <c r="B18" s="4" t="inlineStr">
        <is>
          <t>0.39% of income donated; rank 100/101</t>
        </is>
      </c>
      <c r="C18" s="4" t="inlineStr">
        <is>
          <t>Companion country report; useful for funder conversations.</t>
        </is>
      </c>
      <c r="D18" s="32" t="inlineStr">
        <is>
          <t>https://www.maecenata.eu/2025/07/23/giving-in-germany-report-2025-deutschland-zaehlt-zu-den-schlusslichtern-beim-spenden-weltweit/</t>
        </is>
      </c>
    </row>
    <row r="19" ht="48" customHeight="1">
      <c r="A19" s="4" t="inlineStr">
        <is>
          <t>DZI — Spendenstatistik</t>
        </is>
      </c>
      <c r="B19" s="4" t="inlineStr">
        <is>
          <t>€5.1bn vs €10.3bn volume estimates</t>
        </is>
      </c>
      <c r="C19" s="4" t="inlineStr">
        <is>
          <t>Why different surveys disagree.</t>
        </is>
      </c>
      <c r="D19" s="32" t="inlineStr">
        <is>
          <t>https://www.dzi.de/spendenberatung/spendenauskunfte-und-information/spendenstatistik/</t>
        </is>
      </c>
    </row>
    <row r="20" ht="18" customHeight="1">
      <c r="A20" s="31" t="inlineStr">
        <is>
          <t>Recurring giving</t>
        </is>
      </c>
    </row>
    <row r="21" ht="48" customHeight="1">
      <c r="A21" s="4" t="inlineStr">
        <is>
          <t>Neon One — Recurring Giving Statistics 2026</t>
        </is>
      </c>
      <c r="B21" s="4" t="inlineStr">
        <is>
          <t>~$938 / recurring donor / yr</t>
        </is>
      </c>
      <c r="C21" s="4" t="inlineStr">
        <is>
          <t>Upper bound for engaged recurring donors (US); Ambitious scenario only.</t>
        </is>
      </c>
      <c r="D21" s="32" t="inlineStr">
        <is>
          <t>https://neonone.com/resources/blog/recurring-giving-statistics/</t>
        </is>
      </c>
    </row>
    <row r="22" ht="48" customHeight="1">
      <c r="A22" s="4" t="inlineStr">
        <is>
          <t>Qgiv — Fundraising Statistics</t>
        </is>
      </c>
      <c r="B22" s="4" t="inlineStr">
        <is>
          <t>Recurring donors avg $287/yr (2022)</t>
        </is>
      </c>
      <c r="C22" s="4" t="inlineStr">
        <is>
          <t>Sanity-check band for recurring donation assumptions.</t>
        </is>
      </c>
      <c r="D22" s="32" t="inlineStr">
        <is>
          <t>https://www.qgiv.com/blog/fundraising-statistics/</t>
        </is>
      </c>
    </row>
    <row r="23" ht="18" customHeight="1">
      <c r="A23" s="31" t="inlineStr">
        <is>
          <t>EU grants</t>
        </is>
      </c>
    </row>
    <row r="24" ht="48" customHeight="1">
      <c r="A24" s="4" t="inlineStr">
        <is>
          <t>CERV Programme 2026 — guide (global-disruption)</t>
        </is>
      </c>
      <c r="B24" s="4" t="inlineStr">
        <is>
          <t>€75k–€500k+; 90% funded; transnational</t>
        </is>
      </c>
      <c r="C24" s="4" t="inlineStr">
        <is>
          <t>Civic engagement, inclusion, digital participation. Realistic first win year 2–3 with an NGO partner.</t>
        </is>
      </c>
      <c r="D24" s="32" t="inlineStr">
        <is>
          <t>https://global-disruption.com/eu-calls/cerv/index.html</t>
        </is>
      </c>
    </row>
    <row r="25" ht="48" customHeight="1">
      <c r="A25" s="4" t="inlineStr">
        <is>
          <t>EUFundingPortal — CERV calls</t>
        </is>
      </c>
      <c r="B25" s="4" t="inlineStr">
        <is>
          <t>Town twinning €8.5k–€50.7k; civic min €75k</t>
        </is>
      </c>
      <c r="C25" s="4" t="inlineStr">
        <is>
          <t>Concrete call budgets and per-project ranges.</t>
        </is>
      </c>
      <c r="D25" s="32" t="inlineStr">
        <is>
          <t>https://eufundingportal.eu/programme/cerv/</t>
        </is>
      </c>
    </row>
    <row r="26" ht="48" customHeight="1">
      <c r="A26" s="4" t="inlineStr">
        <is>
          <t>EUFundingPortal — CERV Programme overview</t>
        </is>
      </c>
      <c r="B26" s="4" t="inlineStr">
        <is>
          <t>Per-call budgets and deadlines</t>
        </is>
      </c>
      <c r="C26" s="4" t="inlineStr">
        <is>
          <t>Companion overview with current open calls.</t>
        </is>
      </c>
      <c r="D26" s="32" t="inlineStr">
        <is>
          <t>https://eufundingportal.eu/cerv-programme/</t>
        </is>
      </c>
    </row>
    <row r="27" ht="48" customHeight="1">
      <c r="A27" s="4" t="inlineStr">
        <is>
          <t>Creative Europe — calls (EUFundingPortal)</t>
        </is>
      </c>
      <c r="B27" s="4" t="inlineStr">
        <is>
          <t>Projects up to €500k</t>
        </is>
      </c>
      <c r="C27" s="4" t="inlineStr">
        <is>
          <t>Culture + social-cohesion strand; 'belonging through play' maps to social-resilience objective.</t>
        </is>
      </c>
      <c r="D27" s="32" t="inlineStr">
        <is>
          <t>https://eufundingportal.eu/programme/creative-europe/</t>
        </is>
      </c>
    </row>
    <row r="28" ht="48" customHeight="1">
      <c r="A28" s="4" t="inlineStr">
        <is>
          <t>Culture Action Europe — next Creative Europe / AgoraEU</t>
        </is>
      </c>
      <c r="B28" s="4" t="inlineStr">
        <is>
          <t>€8.6bn proposed 2028–2034 (€1.8bn culture)</t>
        </is>
      </c>
      <c r="C28" s="4" t="inlineStr">
        <is>
          <t>Forward look on EU culture funding.</t>
        </is>
      </c>
      <c r="D28" s="32" t="inlineStr">
        <is>
          <t>https://cultureactioneurope.org/news/proposed-e8-6-billion-for-culture-and-democracy-in-the-next-eu-budget/</t>
        </is>
      </c>
    </row>
    <row r="29" ht="48" customHeight="1">
      <c r="A29" s="4" t="inlineStr">
        <is>
          <t>Culture Action Europe — leaked next programme detail</t>
        </is>
      </c>
      <c r="B29" s="4" t="inlineStr">
        <is>
          <t>Strand structure + social conditionality</t>
        </is>
      </c>
      <c r="C29" s="4" t="inlineStr">
        <is>
          <t>Deeper detail on the next Creative Europe strands.</t>
        </is>
      </c>
      <c r="D29" s="32" t="inlineStr">
        <is>
          <t>https://cultureactioneurope.org/news/the-next-creative-europe-programme-has-been-leaked/</t>
        </is>
      </c>
    </row>
    <row r="30" ht="48" customHeight="1">
      <c r="A30" s="4" t="inlineStr">
        <is>
          <t>Erasmus+ — overview (EUFundingPortal)</t>
        </is>
      </c>
      <c r="B30" s="4" t="inlineStr">
        <is>
          <t>Inclusion, diversity &amp; digital transformation</t>
        </is>
      </c>
      <c r="C30" s="4" t="inlineStr">
        <is>
          <t>Youth / non-formal-education angle; programmatic grants tied to community events.</t>
        </is>
      </c>
      <c r="D30" s="32" t="inlineStr">
        <is>
          <t>https://eufundingportal.eu/erasmus-plus/</t>
        </is>
      </c>
    </row>
    <row r="31" ht="18" customHeight="1">
      <c r="A31" s="31" t="inlineStr">
        <is>
          <t>German foundations</t>
        </is>
      </c>
    </row>
    <row r="32" ht="48" customHeight="1">
      <c r="A32" s="4" t="inlineStr">
        <is>
          <t>Aktion Mensch — Förderung</t>
        </is>
      </c>
      <c r="B32" s="4" t="inlineStr">
        <is>
          <t>Inclusion project grants (varies)</t>
        </is>
      </c>
      <c r="C32" s="4" t="inlineStr">
        <is>
          <t>Major German lottery-funded grantmaker; application via DIAS; nachrangig to public funds. Many calls paused.</t>
        </is>
      </c>
      <c r="D32" s="32" t="inlineStr">
        <is>
          <t>https://www.aktion-mensch.de/foerderung</t>
        </is>
      </c>
    </row>
    <row r="33" ht="48" customHeight="1">
      <c r="A33" s="4" t="inlineStr">
        <is>
          <t>reflecta Fördermittelkompass — Social Support Germany</t>
        </is>
      </c>
      <c r="B33" s="4" t="inlineStr">
        <is>
          <t>Project grants typically €2k–€50k</t>
        </is>
      </c>
      <c r="C33" s="4" t="inlineStr">
        <is>
          <t>Aggregates ESF+, BMFSFJ, BMAS, Aktion Mensch, TV Lottery. Ideal year-1 funding.</t>
        </is>
      </c>
      <c r="D33" s="32" t="inlineStr">
        <is>
          <t>https://foerdermittelkompass.reflecta.org/foerderungen/soziales-foerderungen-deutschland?locale=en</t>
        </is>
      </c>
    </row>
    <row r="34" ht="48" customHeight="1">
      <c r="A34" s="4" t="inlineStr">
        <is>
          <t>Bund.de Förderdatenbank</t>
        </is>
      </c>
      <c r="B34" s="4" t="inlineStr">
        <is>
          <t>Federal funding search</t>
        </is>
      </c>
      <c r="C34" s="4" t="inlineStr">
        <is>
          <t>Primary search portal for all federal/state funding programmes.</t>
        </is>
      </c>
      <c r="D34" s="32" t="inlineStr">
        <is>
          <t>https://www.foerderdatenbank.de/</t>
        </is>
      </c>
    </row>
    <row r="35" ht="18" customHeight="1">
      <c r="A35" s="31" t="inlineStr">
        <is>
          <t>German tax law</t>
        </is>
      </c>
    </row>
    <row r="36" ht="48" customHeight="1">
      <c r="A36" s="4" t="inlineStr">
        <is>
          <t>Council on Foundations — Nonprofit Law in Germany</t>
        </is>
      </c>
      <c r="B36" s="4" t="inlineStr">
        <is>
          <t>§5(1) Nr.9 KStG; Zweckbetrieb 7% VAT</t>
        </is>
      </c>
      <c r="C36" s="4" t="inlineStr">
        <is>
          <t>Purpose-serving revenue exempt from KSt/GewSt; reduced VAT for Zweckbetrieb services.</t>
        </is>
      </c>
      <c r="D36" s="32" t="inlineStr">
        <is>
          <t>https://cof.org/content/nonprofit-law-germany</t>
        </is>
      </c>
    </row>
    <row r="37" ht="48" customHeight="1">
      <c r="A37" s="4" t="inlineStr">
        <is>
          <t>GermanCompanyFormation — Non-Profits in Germany</t>
        </is>
      </c>
      <c r="B37" s="4" t="inlineStr">
        <is>
          <t>Commercial surplus taxed above €45,000/yr</t>
        </is>
      </c>
      <c r="C37" s="4" t="inlineStr">
        <is>
          <t>Steuerpflichtiger wirtschaftlicher Geschäftsbetrieb vs Zweckbetrieb; drives the tax line.</t>
        </is>
      </c>
      <c r="D37" s="32" t="inlineStr">
        <is>
          <t>https://germancompanyformation.com/guides/what-is-non-profit-organizations-in-germany</t>
        </is>
      </c>
    </row>
    <row r="38" ht="48" customHeight="1">
      <c r="A38" s="4" t="inlineStr">
        <is>
          <t>Liesegang Partner — Tax-Exempt Status for NPOs</t>
        </is>
      </c>
      <c r="B38" s="4" t="inlineStr">
        <is>
          <t>gemeinnützige Zwecke (§52 AO) definition</t>
        </is>
      </c>
      <c r="C38" s="4" t="inlineStr">
        <is>
          <t>What qualifies as public-benefit; supports e.V. vs gGmbH choice.</t>
        </is>
      </c>
      <c r="D38" s="32" t="inlineStr">
        <is>
          <t>https://www.liesegang-partner.com/knowhow/corporate-law/translate-to-englisch-unlocking-tax-benefits-how-non-profits-in-germany-can-achieve-tax-exempt-status</t>
        </is>
      </c>
    </row>
    <row r="39" ht="18" customHeight="1">
      <c r="A39" s="31" t="inlineStr">
        <is>
          <t>Library of things</t>
        </is>
      </c>
    </row>
    <row r="40" ht="48" customHeight="1">
      <c r="A40" s="4" t="inlineStr">
        <is>
          <t>Share Shed — Setting Up &amp; Sustaining a LoT</t>
        </is>
      </c>
      <c r="B40" s="4" t="inlineStr">
        <is>
          <t>Membership income &lt; full costs in early years</t>
        </is>
      </c>
      <c r="C40" s="4" t="inlineStr">
        <is>
          <t>Lending revenue alone doesn't cover rent/staff early on; grants + volunteers + in-kind space needed. Inventory often donated/discounted.</t>
        </is>
      </c>
      <c r="D40" s="32" t="inlineStr">
        <is>
          <t>https://www.shareshed.org.uk/wp-content/uploads/2024/12/Setting-Up-and-Sustaining-a-Library-of-Things-FINAL-2.pdf</t>
        </is>
      </c>
    </row>
    <row r="41" ht="48" customHeight="1">
      <c r="A41" s="4" t="inlineStr">
        <is>
          <t>Shareable — How to start a Library of Things</t>
        </is>
      </c>
      <c r="B41" s="4" t="inlineStr">
        <is>
          <t>Subscription + premium-item fees most sustainable</t>
        </is>
      </c>
      <c r="C41" s="4" t="inlineStr">
        <is>
          <t>Anchors the library-tier fee model; sliding-scale for affordability.</t>
        </is>
      </c>
      <c r="D41" s="32" t="inlineStr">
        <is>
          <t>https://www.shareable.net/how-to/how-to-start-a-library-of-things/</t>
        </is>
      </c>
    </row>
    <row r="42" ht="48" customHeight="1">
      <c r="A42" s="4" t="inlineStr">
        <is>
          <t>Shareable — LoT Toolkit (myTurn)</t>
        </is>
      </c>
      <c r="B42" s="4" t="inlineStr">
        <is>
          <t>Bought lending platform ~€2,700/yr (16 locks + SW)</t>
        </is>
      </c>
      <c r="C42" s="4" t="inlineStr">
        <is>
          <t>Build-vs-buy reference. Roundup builds its own, so NOT a modelled cost; dev effort sits in Personnel.</t>
        </is>
      </c>
      <c r="D42" s="32" t="inlineStr">
        <is>
          <t>https://shareable.net/library-of-things-toolkit</t>
        </is>
      </c>
    </row>
    <row r="43" ht="18" customHeight="1">
      <c r="A43" s="31" t="inlineStr">
        <is>
          <t>Space &amp; inventory</t>
        </is>
      </c>
    </row>
    <row r="44" ht="48" customHeight="1">
      <c r="A44" s="4" t="inlineStr">
        <is>
          <t>FinancialModelExcel — Indie board game pub startup</t>
        </is>
      </c>
      <c r="B44" s="4" t="inlineStr">
        <is>
          <t>Game library $10k–$30k retail; lease deposit $5k–$15k</t>
        </is>
      </c>
      <c r="C44" s="4" t="inlineStr">
        <is>
          <t>Retail upper bound that partnership sourcing cuts ~70%; anchors HQ fit-out.</t>
        </is>
      </c>
      <c r="D44" s="32" t="inlineStr">
        <is>
          <t>https://financialmodelexcel.com/blogs/cost-open/indie-board-game-pub</t>
        </is>
      </c>
    </row>
    <row r="45" ht="48" customHeight="1">
      <c r="A45" s="4" t="inlineStr">
        <is>
          <t>StartupFinancialProjection — Board game cafe</t>
        </is>
      </c>
      <c r="B45" s="4" t="inlineStr">
        <is>
          <t>Library 500 games $10k–$20k; rent $5k–$25k deposit</t>
        </is>
      </c>
      <c r="C45" s="4" t="inlineStr">
        <is>
          <t>Sanity-checks inventory and rent ranges; roundup HQ is leaner than a full cafe.</t>
        </is>
      </c>
      <c r="D45" s="32" t="inlineStr">
        <is>
          <t>https://startupfinancialprojection.com/blogs/capex/board-game-cafe</t>
        </is>
      </c>
    </row>
    <row r="46" ht="18" customHeight="1">
      <c r="A46" s="31" t="inlineStr">
        <is>
          <t>B2B events</t>
        </is>
      </c>
    </row>
    <row r="47" ht="48" customHeight="1">
      <c r="A47" s="4" t="inlineStr">
        <is>
          <t>TeamBonding — Team building cost</t>
        </is>
      </c>
      <c r="B47" s="4" t="inlineStr">
        <is>
          <t>In-person from $3,500; $45–$60/person avg</t>
        </is>
      </c>
      <c r="C47" s="4" t="inlineStr">
        <is>
          <t>Anchors B2B per-attendee pricing (model uses €35–€65, European lower end).</t>
        </is>
      </c>
      <c r="D47" s="32" t="inlineStr">
        <is>
          <t>https://www.teambonding.com/cost/</t>
        </is>
      </c>
    </row>
    <row r="48" ht="48" customHeight="1">
      <c r="A48" s="4" t="inlineStr">
        <is>
          <t>Leaders Institute — Corporate team building cost</t>
        </is>
      </c>
      <c r="B48" s="4" t="inlineStr">
        <is>
          <t>$35–$75/person typical</t>
        </is>
      </c>
      <c r="C48" s="4" t="inlineStr">
        <is>
          <t>Confirms the per-person band for professional facilitated events.</t>
        </is>
      </c>
      <c r="D48" s="32" t="inlineStr">
        <is>
          <t>https://www.leadersinstitute.com/get-a-price/</t>
        </is>
      </c>
    </row>
    <row r="49" ht="48" customHeight="1">
      <c r="A49" s="4" t="inlineStr">
        <is>
          <t>IRL Game Shop — Corporate team building</t>
        </is>
      </c>
      <c r="B49" s="4" t="inlineStr">
        <is>
          <t>$20–$25/person board-game events</t>
        </is>
      </c>
      <c r="C49" s="4" t="inlineStr">
        <is>
          <t>Tabletop-specific corporate pricing; supports the lower end of B2B price assumption.</t>
        </is>
      </c>
      <c r="D49" s="32" t="inlineStr">
        <is>
          <t>https://www.irlgameshop.com/service/corporate-team-building-events/</t>
        </is>
      </c>
    </row>
    <row r="50" ht="18" customHeight="1">
      <c r="A50" s="31" t="inlineStr">
        <is>
          <t>Tabletop grants</t>
        </is>
      </c>
    </row>
    <row r="51" ht="48" customHeight="1">
      <c r="A51" s="4" t="inlineStr">
        <is>
          <t>TTGDA — Scholarships list</t>
        </is>
      </c>
      <c r="B51" s="4" t="inlineStr">
        <is>
          <t>$250–$2,000 micro-grants (US, niche)</t>
        </is>
      </c>
      <c r="C51" s="4" t="inlineStr">
        <is>
          <t>Niche gives small grants; useful for community micro-programs, not core ops.</t>
        </is>
      </c>
      <c r="D51" s="32" t="inlineStr">
        <is>
          <t>https://www.ttgda.org/scholarships</t>
        </is>
      </c>
    </row>
    <row r="52" ht="48" customHeight="1">
      <c r="A52" s="4" t="inlineStr">
        <is>
          <t>Washington State Library — TTRPG Innovation Grants</t>
        </is>
      </c>
      <c r="B52" s="4" t="inlineStr">
        <is>
          <t>Up to $2,000 (libraries)</t>
        </is>
      </c>
      <c r="C52" s="4" t="inlineStr">
        <is>
          <t>State-scale hobby funding; model for a library-partnership programme.</t>
        </is>
      </c>
      <c r="D52" s="32" t="inlineStr">
        <is>
          <t>https://www.sos.wa.gov/about-office/news/2025/libraries-washington-apply-now-tabletop-gaming-material-grants</t>
        </is>
      </c>
    </row>
    <row r="53" ht="48" customHeight="1">
      <c r="A53" s="4" t="inlineStr">
        <is>
          <t>ALA Game On! Grants 2025</t>
        </is>
      </c>
      <c r="B53" s="4" t="inlineStr">
        <is>
          <t>$2,000 (doubled by CAH donation)</t>
        </is>
      </c>
      <c r="C53" s="4" t="inlineStr">
        <is>
          <t>Library-channel example; shows corporate co-funding pattern — a precedent for publisher donations.</t>
        </is>
      </c>
      <c r="D53" s="32" t="inlineStr">
        <is>
          <t>https://games.ala.org/game-on-grant-applications-open-for-2025/</t>
        </is>
      </c>
    </row>
    <row r="54" ht="48" customHeight="1">
      <c r="A54" s="4" t="inlineStr">
        <is>
          <t>Gen Con — Participation Grants</t>
        </is>
      </c>
      <c r="B54" s="4" t="inlineStr">
        <is>
          <t>$550 stipend + 4-day badge</t>
        </is>
      </c>
      <c r="C54" s="4" t="inlineStr">
        <is>
          <t>Convention attendance grant; model for roundup.events accessibility grants.</t>
        </is>
      </c>
      <c r="D54" s="32" t="inlineStr">
        <is>
          <t>https://www.gencon.com/gen-con-indy/participation-grants</t>
        </is>
      </c>
    </row>
    <row r="55" ht="18" customHeight="1">
      <c r="A55" s="31" t="inlineStr">
        <is>
          <t>Event economics</t>
        </is>
      </c>
    </row>
    <row r="56" ht="48" customHeight="1">
      <c r="A56" s="4" t="inlineStr">
        <is>
          <t>Dataintelo — Fan Conventions Market Report 2034</t>
        </is>
      </c>
      <c r="B56" s="4" t="inlineStr">
        <is>
          <t>Tickets 31% / merch 27% / sponsorship 21% / F&amp;B 10%</t>
        </is>
      </c>
      <c r="C56" s="4" t="inlineStr">
        <is>
          <t>Anchors branded-events margin assumption (~20–40% net) for small events.</t>
        </is>
      </c>
      <c r="D56" s="32" t="inlineStr">
        <is>
          <t>https://dataintelo.com/report/fan-conventions-market</t>
        </is>
      </c>
    </row>
  </sheetData>
  <mergeCells count="11">
    <mergeCell ref="A5:D5"/>
    <mergeCell ref="A23:D23"/>
    <mergeCell ref="A31:D31"/>
    <mergeCell ref="A35:D35"/>
    <mergeCell ref="A50:D50"/>
    <mergeCell ref="A20:D20"/>
    <mergeCell ref="A39:D39"/>
    <mergeCell ref="A55:D55"/>
    <mergeCell ref="A43:D43"/>
    <mergeCell ref="A46:D46"/>
    <mergeCell ref="A14:D14"/>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5" r:id="rId9"/>
    <hyperlink xmlns:r="http://schemas.openxmlformats.org/officeDocument/2006/relationships" ref="D16" r:id="rId10"/>
    <hyperlink xmlns:r="http://schemas.openxmlformats.org/officeDocument/2006/relationships" ref="D17" r:id="rId11"/>
    <hyperlink xmlns:r="http://schemas.openxmlformats.org/officeDocument/2006/relationships" ref="D18" r:id="rId12"/>
    <hyperlink xmlns:r="http://schemas.openxmlformats.org/officeDocument/2006/relationships" ref="D19" r:id="rId13"/>
    <hyperlink xmlns:r="http://schemas.openxmlformats.org/officeDocument/2006/relationships" ref="D21" r:id="rId14"/>
    <hyperlink xmlns:r="http://schemas.openxmlformats.org/officeDocument/2006/relationships" ref="D22" r:id="rId15"/>
    <hyperlink xmlns:r="http://schemas.openxmlformats.org/officeDocument/2006/relationships" ref="D24" r:id="rId16"/>
    <hyperlink xmlns:r="http://schemas.openxmlformats.org/officeDocument/2006/relationships" ref="D25" r:id="rId17"/>
    <hyperlink xmlns:r="http://schemas.openxmlformats.org/officeDocument/2006/relationships" ref="D26" r:id="rId18"/>
    <hyperlink xmlns:r="http://schemas.openxmlformats.org/officeDocument/2006/relationships" ref="D27" r:id="rId19"/>
    <hyperlink xmlns:r="http://schemas.openxmlformats.org/officeDocument/2006/relationships" ref="D28" r:id="rId20"/>
    <hyperlink xmlns:r="http://schemas.openxmlformats.org/officeDocument/2006/relationships" ref="D29" r:id="rId21"/>
    <hyperlink xmlns:r="http://schemas.openxmlformats.org/officeDocument/2006/relationships" ref="D30" r:id="rId22"/>
    <hyperlink xmlns:r="http://schemas.openxmlformats.org/officeDocument/2006/relationships" ref="D32" r:id="rId23"/>
    <hyperlink xmlns:r="http://schemas.openxmlformats.org/officeDocument/2006/relationships" ref="D33" r:id="rId24"/>
    <hyperlink xmlns:r="http://schemas.openxmlformats.org/officeDocument/2006/relationships" ref="D34" r:id="rId25"/>
    <hyperlink xmlns:r="http://schemas.openxmlformats.org/officeDocument/2006/relationships" ref="D36" r:id="rId26"/>
    <hyperlink xmlns:r="http://schemas.openxmlformats.org/officeDocument/2006/relationships" ref="D37" r:id="rId27"/>
    <hyperlink xmlns:r="http://schemas.openxmlformats.org/officeDocument/2006/relationships" ref="D38"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4" r:id="rId32"/>
    <hyperlink xmlns:r="http://schemas.openxmlformats.org/officeDocument/2006/relationships" ref="D45" r:id="rId33"/>
    <hyperlink xmlns:r="http://schemas.openxmlformats.org/officeDocument/2006/relationships" ref="D47" r:id="rId34"/>
    <hyperlink xmlns:r="http://schemas.openxmlformats.org/officeDocument/2006/relationships" ref="D48" r:id="rId35"/>
    <hyperlink xmlns:r="http://schemas.openxmlformats.org/officeDocument/2006/relationships" ref="D49" r:id="rId36"/>
    <hyperlink xmlns:r="http://schemas.openxmlformats.org/officeDocument/2006/relationships" ref="D51" r:id="rId37"/>
    <hyperlink xmlns:r="http://schemas.openxmlformats.org/officeDocument/2006/relationships" ref="D52" r:id="rId38"/>
    <hyperlink xmlns:r="http://schemas.openxmlformats.org/officeDocument/2006/relationships" ref="D53" r:id="rId39"/>
    <hyperlink xmlns:r="http://schemas.openxmlformats.org/officeDocument/2006/relationships" ref="D54" r:id="rId40"/>
    <hyperlink xmlns:r="http://schemas.openxmlformats.org/officeDocument/2006/relationships" ref="D56"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2026-06-26T12:05:01Z</dcterms:created>
  <dcterms:modified xsi:type="dcterms:W3CDTF">2026-06-26T12:05:01Z</dcterms:modified>
</cp:coreProperties>
</file>